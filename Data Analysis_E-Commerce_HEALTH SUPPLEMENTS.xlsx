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imanshi\OneDrive\Documents\"/>
    </mc:Choice>
  </mc:AlternateContent>
  <xr:revisionPtr revIDLastSave="0" documentId="8_{AF4D988B-5499-4ED8-A643-7326E571042B}" xr6:coauthVersionLast="47" xr6:coauthVersionMax="47" xr10:uidLastSave="{00000000-0000-0000-0000-000000000000}"/>
  <bookViews>
    <workbookView xWindow="-108" yWindow="-108" windowWidth="23256" windowHeight="12456" activeTab="1" xr2:uid="{00000000-000D-0000-FFFF-FFFF00000000}"/>
  </bookViews>
  <sheets>
    <sheet name="Raw Orders" sheetId="2" r:id="rId1"/>
    <sheet name="Analysis" sheetId="5" r:id="rId2"/>
  </sheets>
  <definedNames>
    <definedName name="ExternalData_2" localSheetId="1" hidden="1">Analysis!$A$1:$T$71</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5" l="1"/>
  <c r="U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E154" i="5"/>
  <c r="C154" i="5"/>
  <c r="B154" i="5"/>
  <c r="E152" i="5"/>
  <c r="C152" i="5"/>
  <c r="B152" i="5"/>
  <c r="E153" i="5"/>
  <c r="C153" i="5"/>
  <c r="B153" i="5"/>
  <c r="B151" i="5"/>
  <c r="C151" i="5"/>
  <c r="E151" i="5"/>
  <c r="C150" i="5"/>
  <c r="B150" i="5"/>
  <c r="E150" i="5"/>
  <c r="U64" i="5"/>
  <c r="U71" i="5"/>
  <c r="U69" i="5"/>
  <c r="U67" i="5"/>
  <c r="U65" i="5"/>
  <c r="U61" i="5"/>
  <c r="U54" i="5"/>
  <c r="U53" i="5"/>
  <c r="U51" i="5"/>
  <c r="U48" i="5"/>
  <c r="U46" i="5"/>
  <c r="U45" i="5"/>
  <c r="D154" i="5" s="1"/>
  <c r="U44" i="5"/>
  <c r="D153" i="5" s="1"/>
  <c r="U41" i="5"/>
  <c r="U40" i="5"/>
  <c r="U39" i="5"/>
  <c r="U38" i="5"/>
  <c r="U35" i="5"/>
  <c r="U34" i="5"/>
  <c r="U26" i="5"/>
  <c r="D152" i="5" s="1"/>
  <c r="U25" i="5"/>
  <c r="U23" i="5"/>
  <c r="U22" i="5"/>
  <c r="U17" i="5"/>
  <c r="D151" i="5" s="1"/>
  <c r="U16" i="5"/>
  <c r="U15" i="5"/>
  <c r="U14" i="5"/>
  <c r="U13" i="5"/>
  <c r="U12" i="5"/>
  <c r="U11" i="5"/>
  <c r="U10" i="5"/>
  <c r="U9" i="5"/>
  <c r="D150" i="5" s="1"/>
  <c r="U8" i="5"/>
  <c r="U7" i="5"/>
  <c r="U6" i="5"/>
  <c r="U4" i="5"/>
  <c r="U3" i="5"/>
  <c r="U5" i="5"/>
  <c r="U18" i="5"/>
  <c r="U19" i="5"/>
  <c r="U20" i="5"/>
  <c r="U21" i="5"/>
  <c r="U24" i="5"/>
  <c r="U27" i="5"/>
  <c r="U28" i="5"/>
  <c r="U29" i="5"/>
  <c r="U30" i="5"/>
  <c r="U31" i="5"/>
  <c r="U32" i="5"/>
  <c r="U33" i="5"/>
  <c r="U36" i="5"/>
  <c r="U37" i="5"/>
  <c r="U42" i="5"/>
  <c r="U43" i="5"/>
  <c r="U47" i="5"/>
  <c r="U49" i="5"/>
  <c r="U50" i="5"/>
  <c r="U52" i="5"/>
  <c r="U55" i="5"/>
  <c r="U56" i="5"/>
  <c r="U57" i="5"/>
  <c r="U58" i="5"/>
  <c r="U59" i="5"/>
  <c r="U60" i="5"/>
  <c r="U62" i="5"/>
  <c r="U63" i="5"/>
  <c r="U66" i="5"/>
  <c r="U68" i="5"/>
  <c r="U70" i="5"/>
  <c r="C79" i="5"/>
  <c r="C83" i="5" a="1"/>
  <c r="C83" i="5" s="1"/>
  <c r="C88" i="5" s="1"/>
  <c r="C81" i="5"/>
  <c r="C77" i="5"/>
  <c r="F88" i="5" l="1"/>
  <c r="G88" i="5" s="1"/>
  <c r="C8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AF5B0F-95DC-46B8-8425-63866A6CD471}" keepAlive="1" name="Query - Table_15" description="Connection to the 'Table_15' query in the workbook." type="5" refreshedVersion="0" background="1">
    <dbPr connection="Provider=Microsoft.Mashup.OleDb.1;Data Source=$Workbook$;Location=Table_15;Extended Properties=&quot;&quot;" command="SELECT * FROM [Table_15]"/>
  </connection>
  <connection id="2" xr16:uid="{A055DA04-F1C9-4975-BACE-1EAF231DA1E3}" keepAlive="1" name="Query - Table_16" description="Connection to the 'Table_16' query in the workbook." type="5" refreshedVersion="8" background="1" saveData="1">
    <dbPr connection="Provider=Microsoft.Mashup.OleDb.1;Data Source=$Workbook$;Location=Table_16;Extended Properties=&quot;&quot;" command="SELECT * FROM [Table_16]"/>
  </connection>
  <connection id="3" xr16:uid="{1B328241-BCF3-4FE9-B7CB-D763E0145805}" keepAlive="1" name="Query - Table_17" description="Connection to the 'Table_17' query in the workbook." type="5" refreshedVersion="0" background="1" saveData="1">
    <dbPr connection="Provider=Microsoft.Mashup.OleDb.1;Data Source=$Workbook$;Location=Table_17;Extended Properties=&quot;&quot;" command="SELECT * FROM [Table_17]"/>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<sst xmlns="http://schemas.openxmlformats.org/spreadsheetml/2006/main" count="1391" uniqueCount="275">
  <si>
    <t>Raw Orders – July 2026</t>
  </si>
  <si>
    <t>Order ID</t>
  </si>
  <si>
    <t>Order Date</t>
  </si>
  <si>
    <t>Product</t>
  </si>
  <si>
    <t>SKU</t>
  </si>
  <si>
    <t>Quantity</t>
  </si>
  <si>
    <t>Unit Price</t>
  </si>
  <si>
    <t>Discount</t>
  </si>
  <si>
    <t>Shipping Charge</t>
  </si>
  <si>
    <t>Order Value</t>
  </si>
  <si>
    <t>Payment Method</t>
  </si>
  <si>
    <t>City</t>
  </si>
  <si>
    <t>State</t>
  </si>
  <si>
    <t>Courier</t>
  </si>
  <si>
    <t>AWB</t>
  </si>
  <si>
    <t>Dispatch Date</t>
  </si>
  <si>
    <t>Current Status</t>
  </si>
  <si>
    <t>Last Tracking Update</t>
  </si>
  <si>
    <t>Delivery Date</t>
  </si>
  <si>
    <t>Return/RTO Date</t>
  </si>
  <si>
    <t>Issue Note</t>
  </si>
  <si>
    <t>WWF2607070</t>
  </si>
  <si>
    <t>WOMN Menopause Support</t>
  </si>
  <si>
    <t>WWF-MENO-60</t>
  </si>
  <si>
    <t>Prepaid</t>
  </si>
  <si>
    <t>Bhopal</t>
  </si>
  <si>
    <t>Madhya Pradesh</t>
  </si>
  <si>
    <t>Delhivery</t>
  </si>
  <si>
    <t>Processing</t>
  </si>
  <si>
    <t>WWF2607069</t>
  </si>
  <si>
    <t>WOMN Fertility Support</t>
  </si>
  <si>
    <t>WWF-FER-60</t>
  </si>
  <si>
    <t>Dehradun</t>
  </si>
  <si>
    <t>Uttarakhand</t>
  </si>
  <si>
    <t>Warehouse allocation pending</t>
  </si>
  <si>
    <t>WWF2607068</t>
  </si>
  <si>
    <t>WOMN PCOS Support</t>
  </si>
  <si>
    <t>WWF-PCOS-60</t>
  </si>
  <si>
    <t>New Delhi</t>
  </si>
  <si>
    <t>Delhi</t>
  </si>
  <si>
    <t>Xpressbees</t>
  </si>
  <si>
    <t>XB2607000170</t>
  </si>
  <si>
    <t>AWB generated but dispatch date is blank</t>
  </si>
  <si>
    <t>WWF2607067</t>
  </si>
  <si>
    <t>COD</t>
  </si>
  <si>
    <t>Ecom Express</t>
  </si>
  <si>
    <t>Cancelled</t>
  </si>
  <si>
    <t>Duplicate order</t>
  </si>
  <si>
    <t>WWF2607066</t>
  </si>
  <si>
    <t>WOMN Perimenopause Support</t>
  </si>
  <si>
    <t>WWF-PERI-60</t>
  </si>
  <si>
    <t>Faridabad</t>
  </si>
  <si>
    <t>Haryana</t>
  </si>
  <si>
    <t>ECM2607000131</t>
  </si>
  <si>
    <t>In Transit</t>
  </si>
  <si>
    <t>No movement after initial hub scan</t>
  </si>
  <si>
    <t>WWF2607065</t>
  </si>
  <si>
    <t>WOMN Prenatal Support</t>
  </si>
  <si>
    <t>WWF-PRE-60</t>
  </si>
  <si>
    <t>Blue Dart</t>
  </si>
  <si>
    <t>BD2607000143</t>
  </si>
  <si>
    <t>Out for Delivery</t>
  </si>
  <si>
    <t>WWF2607064</t>
  </si>
  <si>
    <t>Indore</t>
  </si>
  <si>
    <t>Stock confirmation pending</t>
  </si>
  <si>
    <t>WWF2607063</t>
  </si>
  <si>
    <t>Ahmedabad</t>
  </si>
  <si>
    <t>Gujarat</t>
  </si>
  <si>
    <t>AWB value matches another active order</t>
  </si>
  <si>
    <t>WWF2607062</t>
  </si>
  <si>
    <t>Mumbai</t>
  </si>
  <si>
    <t>Maharashtra</t>
  </si>
  <si>
    <t>XB2607000138</t>
  </si>
  <si>
    <t>WWF2607061</t>
  </si>
  <si>
    <t>WWF2607060</t>
  </si>
  <si>
    <t>BD2607000135</t>
  </si>
  <si>
    <t>WWF2607059</t>
  </si>
  <si>
    <t>WOMN Thyroid Support</t>
  </si>
  <si>
    <t>WWF-THY-60</t>
  </si>
  <si>
    <t>XB2607000139</t>
  </si>
  <si>
    <t>Customer requested evening delivery</t>
  </si>
  <si>
    <t>WWF2607058</t>
  </si>
  <si>
    <t>Kolkata</t>
  </si>
  <si>
    <t>West Bengal</t>
  </si>
  <si>
    <t>WWF2607057</t>
  </si>
  <si>
    <t>Bengaluru</t>
  </si>
  <si>
    <t>Karnataka</t>
  </si>
  <si>
    <t>WWF2607056</t>
  </si>
  <si>
    <t>ECM2607000134</t>
  </si>
  <si>
    <t>WWF2607055</t>
  </si>
  <si>
    <t>WWF2607054</t>
  </si>
  <si>
    <t>Chandigarh</t>
  </si>
  <si>
    <t>ECM2607000101</t>
  </si>
  <si>
    <t>Delivered</t>
  </si>
  <si>
    <t>WWF2607053</t>
  </si>
  <si>
    <t>Noida</t>
  </si>
  <si>
    <t>Uttar Pradesh</t>
  </si>
  <si>
    <t>ECM2607000103</t>
  </si>
  <si>
    <t>WWF2607052</t>
  </si>
  <si>
    <t>Patna</t>
  </si>
  <si>
    <t>Bihar</t>
  </si>
  <si>
    <t>BD2607000113</t>
  </si>
  <si>
    <t>WWF2607051</t>
  </si>
  <si>
    <t>ECM2607000117</t>
  </si>
  <si>
    <t>WWF2607050</t>
  </si>
  <si>
    <t>DLV2607000140</t>
  </si>
  <si>
    <t>Delivery call not answered</t>
  </si>
  <si>
    <t>WWF2607049</t>
  </si>
  <si>
    <t>ECM2607000141</t>
  </si>
  <si>
    <t>WWF2607048</t>
  </si>
  <si>
    <t>BD2607000119</t>
  </si>
  <si>
    <t>WWF2607047</t>
  </si>
  <si>
    <t>DLV2607000132</t>
  </si>
  <si>
    <t>WWF2607046</t>
  </si>
  <si>
    <t>Jaipur</t>
  </si>
  <si>
    <t>Rajasthan</t>
  </si>
  <si>
    <t>WWF2607045</t>
  </si>
  <si>
    <t>Lucknow</t>
  </si>
  <si>
    <t>WWF2607044</t>
  </si>
  <si>
    <t>BD2607000160</t>
  </si>
  <si>
    <t>Status shows cancelled although dispatch data exists</t>
  </si>
  <si>
    <t>WWF2607043</t>
  </si>
  <si>
    <t>Ghaziabad</t>
  </si>
  <si>
    <t>DLV2607000114</t>
  </si>
  <si>
    <t>WWF2607042</t>
  </si>
  <si>
    <t>Hyderabad</t>
  </si>
  <si>
    <t>Telangana</t>
  </si>
  <si>
    <t>DLV2607000116</t>
  </si>
  <si>
    <t>WWF2607041</t>
  </si>
  <si>
    <t>XB2607000125</t>
  </si>
  <si>
    <t>WWF2607040</t>
  </si>
  <si>
    <t>ECM2607000102</t>
  </si>
  <si>
    <t>WWF2607039</t>
  </si>
  <si>
    <t>ECM2607000122</t>
  </si>
  <si>
    <t>WWF2607038</t>
  </si>
  <si>
    <t>XB2607000133</t>
  </si>
  <si>
    <t>WWF2607037</t>
  </si>
  <si>
    <t>Pune</t>
  </si>
  <si>
    <t>BD2607000144</t>
  </si>
  <si>
    <t>WWF2607036</t>
  </si>
  <si>
    <t>BD2607000112</t>
  </si>
  <si>
    <t>WWF2607035</t>
  </si>
  <si>
    <t>DLV2607000118</t>
  </si>
  <si>
    <t>WWF2607034</t>
  </si>
  <si>
    <t>BD2607000129</t>
  </si>
  <si>
    <t>WWF2607033</t>
  </si>
  <si>
    <t>BD2607000142</t>
  </si>
  <si>
    <t>WWF2607032</t>
  </si>
  <si>
    <t>DLV2607000149</t>
  </si>
  <si>
    <t>RTO</t>
  </si>
  <si>
    <t>Incomplete address</t>
  </si>
  <si>
    <t>WWF2607031</t>
  </si>
  <si>
    <t>XB2607000151</t>
  </si>
  <si>
    <t>Customer unreachable</t>
  </si>
  <si>
    <t>WWF2607030</t>
  </si>
  <si>
    <t>WWF2607029</t>
  </si>
  <si>
    <t>BD2607000121</t>
  </si>
  <si>
    <t>WWF2607028</t>
  </si>
  <si>
    <t>DLV2607000130</t>
  </si>
  <si>
    <t>WWF2607027</t>
  </si>
  <si>
    <t>XB2607000136</t>
  </si>
  <si>
    <t>WWF2607026</t>
  </si>
  <si>
    <t>ECM2607000147</t>
  </si>
  <si>
    <t>Customer refused delivery</t>
  </si>
  <si>
    <t>WWF2607025</t>
  </si>
  <si>
    <t>XB2607000106</t>
  </si>
  <si>
    <t>WWF2607024</t>
  </si>
  <si>
    <t>ECM2607000108</t>
  </si>
  <si>
    <t>Delivery confirmed by courier but delivery date not synced</t>
  </si>
  <si>
    <t>WWF2607023</t>
  </si>
  <si>
    <t>ECM2607000124</t>
  </si>
  <si>
    <t>WWF2607022</t>
  </si>
  <si>
    <t>Gurugram</t>
  </si>
  <si>
    <t>ECM2607000110</t>
  </si>
  <si>
    <t>WWF2607021</t>
  </si>
  <si>
    <t>BD2607000152</t>
  </si>
  <si>
    <t>Returned</t>
  </si>
  <si>
    <t>Seal issue reported</t>
  </si>
  <si>
    <t>WWF2607020</t>
  </si>
  <si>
    <t>DLV2607000109</t>
  </si>
  <si>
    <t>WWF2607019</t>
  </si>
  <si>
    <t>BD2607000148</t>
  </si>
  <si>
    <t>Delivery attempted three times</t>
  </si>
  <si>
    <t>WWF2607018</t>
  </si>
  <si>
    <t>ECM2607000150</t>
  </si>
  <si>
    <t>RTO confirmed but return date not synced</t>
  </si>
  <si>
    <t>WWF2607017</t>
  </si>
  <si>
    <t>Payment verification failed</t>
  </si>
  <si>
    <t>WWF2607016</t>
  </si>
  <si>
    <t>ECM2607000126</t>
  </si>
  <si>
    <t>WWF2607015</t>
  </si>
  <si>
    <t>DLV2607000127</t>
  </si>
  <si>
    <t>WWF2607014</t>
  </si>
  <si>
    <t>XB2607000128</t>
  </si>
  <si>
    <t>WWF2607013</t>
  </si>
  <si>
    <t>ECM2607000111</t>
  </si>
  <si>
    <t>WWF2607012</t>
  </si>
  <si>
    <t>DLV2607000123</t>
  </si>
  <si>
    <t>WWF2607011</t>
  </si>
  <si>
    <t>BD2607000156</t>
  </si>
  <si>
    <t>WWF2607010</t>
  </si>
  <si>
    <t>DLV2607000104</t>
  </si>
  <si>
    <t>WWF2607009</t>
  </si>
  <si>
    <t>DLV2607000115</t>
  </si>
  <si>
    <t>WWF2607008</t>
  </si>
  <si>
    <t>XB2607000153</t>
  </si>
  <si>
    <t>Outer packaging damaged</t>
  </si>
  <si>
    <t>WWF2607007</t>
  </si>
  <si>
    <t>BD2607000145</t>
  </si>
  <si>
    <t>WWF2607006</t>
  </si>
  <si>
    <t>BD2607000107</t>
  </si>
  <si>
    <t>WWF2607005</t>
  </si>
  <si>
    <t>DLV2607000154</t>
  </si>
  <si>
    <t>Wrong item reported</t>
  </si>
  <si>
    <t>WWF2607004</t>
  </si>
  <si>
    <t>ECM2607000120</t>
  </si>
  <si>
    <t>Delivered after customer follow-up</t>
  </si>
  <si>
    <t>WWF2607003</t>
  </si>
  <si>
    <t>ECM2607000155</t>
  </si>
  <si>
    <t>Customer changed mind</t>
  </si>
  <si>
    <t>WWF2607002</t>
  </si>
  <si>
    <t>BD2607000105</t>
  </si>
  <si>
    <t>WWF2607001</t>
  </si>
  <si>
    <t>BD2607000146</t>
  </si>
  <si>
    <t>Row Labels</t>
  </si>
  <si>
    <t>Sum of Order Value</t>
  </si>
  <si>
    <t>Grand Total</t>
  </si>
  <si>
    <t>Count of Order ID</t>
  </si>
  <si>
    <t>Order Date.1</t>
  </si>
  <si>
    <t>Dispatch Date.1</t>
  </si>
  <si>
    <t>Last Tracking Update.1</t>
  </si>
  <si>
    <t>Total Orders</t>
  </si>
  <si>
    <t>Gross Order Value</t>
  </si>
  <si>
    <t>Active Booked Value</t>
  </si>
  <si>
    <t>Deliverd Revenue</t>
  </si>
  <si>
    <t>Average Order Value</t>
  </si>
  <si>
    <t>Average Order Value = Gross Order Value ÷ Total Orders</t>
  </si>
  <si>
    <t>Active Booked Value = sum of Order Value where status is NOT Cancelled/Returned.</t>
  </si>
  <si>
    <t>Total Orders = COUNTA of unique Order IDs (watched for duplicates if one order has multiple product rows).</t>
  </si>
  <si>
    <t>Gross Order Value = SUM of Order Value column, all orders regardless of status.</t>
  </si>
  <si>
    <t>Delivered Revenue = SUMIF/SUMIFS where Current Status = "Delivered".</t>
  </si>
  <si>
    <t>AGEING DAYS</t>
  </si>
  <si>
    <t>ACTION REQUIRED</t>
  </si>
  <si>
    <t>S.No.</t>
  </si>
  <si>
    <t>Ageing Days</t>
  </si>
  <si>
    <t>Specific Issue</t>
  </si>
  <si>
    <t>Priority Level</t>
  </si>
  <si>
    <t>Action</t>
  </si>
  <si>
    <t xml:space="preserve">High </t>
  </si>
  <si>
    <t>Medium</t>
  </si>
  <si>
    <t>High</t>
  </si>
  <si>
    <t>Pause the order temporary, request the local hub of that area to regenerate the AWB number</t>
  </si>
  <si>
    <t>Request the delivery agent to urgently trace order for the lost parcel and provide update.</t>
  </si>
  <si>
    <t>Perform inventory audit in the Warehous Management System, if stock is there, assign it or if out of stock, re-stock it and communicate the delay with customer.</t>
  </si>
  <si>
    <t>Assumptions:</t>
  </si>
  <si>
    <t>For order WWF2607028, I am assumed that the parcel has misplaced as it has shown no movement since last 14 days.</t>
  </si>
  <si>
    <t>For order WWF2607046, I have assumed that the company do not have the stock that's why the order is in process since 10 days.</t>
  </si>
  <si>
    <t>For order WWF2607055, I have assumed that there is some issue with WMS or lack of stock.</t>
  </si>
  <si>
    <t>Verify whether we have stock with us physically, and place order/manufacture the stock.</t>
  </si>
  <si>
    <t>Verify actual delivery status with the delivery partner.</t>
  </si>
  <si>
    <t>Data Quality/Inconsistency</t>
  </si>
  <si>
    <t>DELIVERY RATE =</t>
  </si>
  <si>
    <t xml:space="preserve">TOTAL LOST VALUE  =  </t>
  </si>
  <si>
    <t>Fertility Support</t>
  </si>
  <si>
    <t xml:space="preserve"> Menopause Support</t>
  </si>
  <si>
    <t>Perimenopause Support</t>
  </si>
  <si>
    <t>Prenatal Support</t>
  </si>
  <si>
    <t>Thyroid Support</t>
  </si>
  <si>
    <t>PCOS Support</t>
  </si>
  <si>
    <t>MENO-60</t>
  </si>
  <si>
    <t>FER-60</t>
  </si>
  <si>
    <t>PCOS-60</t>
  </si>
  <si>
    <t>PERI-60</t>
  </si>
  <si>
    <t>PRE-60</t>
  </si>
  <si>
    <t>THY-60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</si>
</sst>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
    <numFmt numFmtId="166" formatCode="_ [$₹-4009]\ * #,##0.00_ ;_ [$₹-4009]\ * \-#,##0.00_ ;_ [$₹-4009]\ * &quot;-&quot;??_ ;_ @_ "/>
    <numFmt numFmtId="167" formatCode="_ [$₹-4009]\ * #,##0_ ;_ [$₹-4009]\ * \-#,##0_ ;_ [$₹-4009]\ * &quot;-&quot;_ ;_ @_ "/>
  </numFmts>
  <fonts count="8">
    <font>
      <sz val="11"/>
      <color rgb="FF000000"/>
      <name val="Carlito"/>
      <scheme val="minor"/>
    </font>
    <font>
      <b/>
      <sz val="17"/>
      <color rgb="FFFFFFFF"/>
      <name val="Carlito"/>
    </font>
    <font>
      <sz val="11"/>
      <color theme="1"/>
      <name val="Carlito"/>
    </font>
    <font>
      <sz val="11"/>
      <color rgb="FFFFFFFF"/>
      <name val="Carlito"/>
    </font>
    <font>
      <b/>
      <sz val="11"/>
      <color rgb="FF000000"/>
      <name val="Carlito"/>
      <scheme val="minor"/>
    </font>
    <font>
      <b/>
      <sz val="12"/>
      <color rgb="FF000000"/>
      <name val="Carlito"/>
      <scheme val="minor"/>
    </font>
    <font>
      <sz val="12"/>
      <color rgb="FF000000"/>
      <name val="Carlito"/>
      <scheme val="minor"/>
    </font>
    <font>
      <sz val="11"/>
      <color rgb="FF000000"/>
      <name val="Carlito"/>
      <scheme val="minor"/>
    </font>
  </fonts>
  <fills count="4">
    <fill>
      <patternFill patternType="none"/>
    </fill>
    <fill>
      <patternFill patternType="gray125"/>
    </fill>
    <fill>
      <patternFill patternType="solid">
        <fgColor rgb="FF163342"/>
        <bgColor rgb="FF163342"/>
      </patternFill>
    </fill>
    <fill>
      <patternFill patternType="solid">
        <fgColor theme="4" tint="0.79998168889431442"/>
        <bgColor indexed="64"/>
      </patternFill>
    </fill>
  </fills>
  <borders count="8">
    <border>
      <left/>
      <right/>
      <top/>
      <bottom/>
      <diagonal/>
    </border>
    <border>
      <left style="thin">
        <color rgb="FFE3E8EB"/>
      </left>
      <right/>
      <top style="thin">
        <color rgb="FFE3E8EB"/>
      </top>
      <bottom style="thin">
        <color rgb="FFE3E8EB"/>
      </bottom>
      <diagonal/>
    </border>
    <border>
      <left style="thin">
        <color rgb="FF999999"/>
      </left>
      <right/>
      <top style="thin">
        <color rgb="FF999999"/>
      </top>
      <bottom/>
      <diagonal/>
    </border>
    <border>
      <left style="thin">
        <color rgb="FF999999"/>
      </left>
      <right/>
      <top style="thin">
        <color indexed="65"/>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2">
    <xf numFmtId="0" fontId="0" fillId="0" borderId="0"/>
    <xf numFmtId="9" fontId="7" fillId="0" borderId="0" applyFont="0" applyFill="0" applyBorder="0" applyAlignment="0" applyProtection="0"/>
  </cellStyleXfs>
  <cellXfs count="36">
    <xf numFmtId="0" fontId="0" fillId="0" borderId="0" xfId="0"/>
    <xf numFmtId="0" fontId="2" fillId="0" borderId="1" xfId="0" applyFont="1" applyBorder="1" applyAlignment="1">
      <alignment vertical="top" wrapText="1"/>
    </xf>
    <xf numFmtId="0" fontId="3" fillId="0" borderId="0" xfId="0" applyFont="1" applyAlignment="1">
      <alignment vertical="center"/>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1" fontId="2" fillId="0" borderId="0" xfId="0" applyNumberFormat="1" applyFont="1" applyAlignment="1">
      <alignment vertical="center"/>
    </xf>
    <xf numFmtId="165" fontId="2" fillId="0" borderId="0" xfId="0" applyNumberFormat="1" applyFont="1" applyAlignment="1">
      <alignment vertical="center"/>
    </xf>
    <xf numFmtId="22" fontId="0" fillId="0" borderId="0" xfId="0" applyNumberFormat="1"/>
    <xf numFmtId="14"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0" fillId="0" borderId="2" xfId="0" applyBorder="1"/>
    <xf numFmtId="0" fontId="0" fillId="0" borderId="4" xfId="0"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5" xfId="0" applyBorder="1" applyAlignment="1">
      <alignment horizontal="left"/>
    </xf>
    <xf numFmtId="0" fontId="0" fillId="3" borderId="0" xfId="0" applyFill="1"/>
    <xf numFmtId="14" fontId="0" fillId="3" borderId="0" xfId="0" applyNumberFormat="1" applyFill="1"/>
    <xf numFmtId="0" fontId="5" fillId="0" borderId="0" xfId="0" applyFont="1"/>
    <xf numFmtId="0" fontId="4" fillId="0" borderId="0" xfId="0" applyFont="1"/>
    <xf numFmtId="0" fontId="0" fillId="0" borderId="3" xfId="0" applyBorder="1"/>
    <xf numFmtId="0" fontId="0" fillId="0" borderId="7" xfId="0" applyBorder="1"/>
    <xf numFmtId="0" fontId="0" fillId="0" borderId="5" xfId="0" applyBorder="1"/>
    <xf numFmtId="0" fontId="0" fillId="0" borderId="6" xfId="0" applyBorder="1"/>
    <xf numFmtId="0" fontId="5" fillId="0" borderId="0" xfId="0" applyFont="1" applyAlignment="1">
      <alignment horizontal="center"/>
    </xf>
    <xf numFmtId="10" fontId="4" fillId="0" borderId="0" xfId="1" applyNumberFormat="1" applyFont="1"/>
    <xf numFmtId="10" fontId="0" fillId="0" borderId="0" xfId="1" applyNumberFormat="1" applyFont="1"/>
    <xf numFmtId="0" fontId="6" fillId="0" borderId="0" xfId="0" applyFont="1"/>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1" fillId="2" borderId="0" xfId="0" applyFont="1" applyFill="1" applyAlignment="1">
      <alignment vertical="center"/>
    </xf>
    <xf numFmtId="0" fontId="0" fillId="0" borderId="0" xfId="0"/>
  </cellXfs>
  <cellStyles count="2">
    <cellStyle name="Normal" xfId="0" builtinId="0"/>
    <cellStyle name="Percent" xfId="1" builtinId="5"/>
  </cellStyles>
  <dxfs count="18">
    <dxf>
      <numFmt numFmtId="0" formatCode="General"/>
    </dxf>
    <dxf>
      <numFmt numFmtId="19" formatCode="m/d/yyyy"/>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defaultTableStyle="TableStyleMedium2" defaultPivotStyle="PivotStyleLight16">
    <tableStyle name="Raw Orders-style" pivot="0" count="3" xr9:uid="{00000000-0011-0000-FFFF-FFFF00000000}">
      <tableStyleElement type="headerRow" dxfId="17"/>
      <tableStyleElement type="firstRowStripe" dxfId="16"/>
      <tableStyleElement type="secondRowStripe" dxfId="15"/>
    </tableStyle>
  </tableStyles>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Analysis_E-Commerce_HEALTH SUPPLEMENTS.xlsx]Analysis!PivotTable2</c:name>
    <c:fmtId val="0"/>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Analysis!$B$111</c:f>
              <c:strCache>
                <c:ptCount val="1"/>
                <c:pt idx="0">
                  <c:v>Sum of Order Value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D13-4CC6-8F7D-C1D6B92BF2D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D13-4CC6-8F7D-C1D6B92BF2D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D13-4CC6-8F7D-C1D6B92BF2D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D13-4CC6-8F7D-C1D6B92BF2DA}"/>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1D13-4CC6-8F7D-C1D6B92BF2DA}"/>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1D13-4CC6-8F7D-C1D6B92BF2DA}"/>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1D13-4CC6-8F7D-C1D6B92BF2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Analysis!$A$112:$A$118</c:f>
              <c:strCache>
                <c:ptCount val="6"/>
                <c:pt idx="0">
                  <c:v>Cancelled</c:v>
                </c:pt>
                <c:pt idx="1">
                  <c:v>Delivered</c:v>
                </c:pt>
                <c:pt idx="2">
                  <c:v>In Transit</c:v>
                </c:pt>
                <c:pt idx="3">
                  <c:v>Out for Delivery</c:v>
                </c:pt>
                <c:pt idx="4">
                  <c:v>Processing</c:v>
                </c:pt>
                <c:pt idx="5">
                  <c:v>RTO</c:v>
                </c:pt>
              </c:strCache>
            </c:strRef>
          </c:cat>
          <c:val>
            <c:numRef>
              <c:f>Analysis!$B$112:$B$118</c:f>
              <c:numCache>
                <c:formatCode>General</c:formatCode>
                <c:ptCount val="6"/>
                <c:pt idx="0">
                  <c:v>7892</c:v>
                </c:pt>
                <c:pt idx="1">
                  <c:v>36414</c:v>
                </c:pt>
                <c:pt idx="2">
                  <c:v>15035</c:v>
                </c:pt>
                <c:pt idx="3">
                  <c:v>7841</c:v>
                </c:pt>
                <c:pt idx="4">
                  <c:v>11938</c:v>
                </c:pt>
                <c:pt idx="5">
                  <c:v>15931</c:v>
                </c:pt>
              </c:numCache>
            </c:numRef>
          </c:val>
          <c:extLst>
            <c:ext xmlns:c16="http://schemas.microsoft.com/office/drawing/2014/chart" uri="{C3380CC4-5D6E-409C-BE32-E72D297353CC}">
              <c16:uniqueId val="{00000055-E416-4AF1-9D74-E39482245BEF}"/>
            </c:ext>
          </c:extLst>
        </c:ser>
        <c:ser>
          <c:idx val="1"/>
          <c:order val="1"/>
          <c:tx>
            <c:strRef>
              <c:f>Analysis!$C$111</c:f>
              <c:strCache>
                <c:ptCount val="1"/>
                <c:pt idx="0">
                  <c:v>Count of Order ID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1D13-4CC6-8F7D-C1D6B92BF2D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1D13-4CC6-8F7D-C1D6B92BF2D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1D13-4CC6-8F7D-C1D6B92BF2D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1D13-4CC6-8F7D-C1D6B92BF2DA}"/>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1D13-4CC6-8F7D-C1D6B92BF2DA}"/>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1D13-4CC6-8F7D-C1D6B92BF2DA}"/>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1D13-4CC6-8F7D-C1D6B92BF2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Analysis!$A$112:$A$118</c:f>
              <c:strCache>
                <c:ptCount val="6"/>
                <c:pt idx="0">
                  <c:v>Cancelled</c:v>
                </c:pt>
                <c:pt idx="1">
                  <c:v>Delivered</c:v>
                </c:pt>
                <c:pt idx="2">
                  <c:v>In Transit</c:v>
                </c:pt>
                <c:pt idx="3">
                  <c:v>Out for Delivery</c:v>
                </c:pt>
                <c:pt idx="4">
                  <c:v>Processing</c:v>
                </c:pt>
                <c:pt idx="5">
                  <c:v>RTO</c:v>
                </c:pt>
              </c:strCache>
            </c:strRef>
          </c:cat>
          <c:val>
            <c:numRef>
              <c:f>Analysis!$C$112:$C$118</c:f>
              <c:numCache>
                <c:formatCode>General</c:formatCode>
                <c:ptCount val="6"/>
                <c:pt idx="0">
                  <c:v>5</c:v>
                </c:pt>
                <c:pt idx="1">
                  <c:v>28</c:v>
                </c:pt>
                <c:pt idx="2">
                  <c:v>10</c:v>
                </c:pt>
                <c:pt idx="3">
                  <c:v>6</c:v>
                </c:pt>
                <c:pt idx="4">
                  <c:v>9</c:v>
                </c:pt>
                <c:pt idx="5">
                  <c:v>12</c:v>
                </c:pt>
              </c:numCache>
            </c:numRef>
          </c:val>
          <c:extLst>
            <c:ext xmlns:c16="http://schemas.microsoft.com/office/drawing/2014/chart" uri="{C3380CC4-5D6E-409C-BE32-E72D297353CC}">
              <c16:uniqueId val="{00000056-E416-4AF1-9D74-E39482245BEF}"/>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Analysis_E-Commerce_HEALTH SUPPLEMENTS.xlsx]Analysis!PivotTable3</c:name>
    <c:fmtId val="0"/>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035112067826057"/>
          <c:w val="0.87777777777777788"/>
          <c:h val="0.55315291074227235"/>
        </c:manualLayout>
      </c:layout>
      <c:pie3DChart>
        <c:varyColors val="1"/>
        <c:ser>
          <c:idx val="0"/>
          <c:order val="0"/>
          <c:tx>
            <c:strRef>
              <c:f>Analysis!$B$132</c:f>
              <c:strCache>
                <c:ptCount val="1"/>
                <c:pt idx="0">
                  <c:v>Count of Order ID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923-4CA4-9CD3-4AA27D95A96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4-3923-4CA4-9CD3-4AA27D95A9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Analysis!$A$133:$A$135</c:f>
              <c:strCache>
                <c:ptCount val="2"/>
                <c:pt idx="0">
                  <c:v>COD</c:v>
                </c:pt>
                <c:pt idx="1">
                  <c:v>Prepaid</c:v>
                </c:pt>
              </c:strCache>
            </c:strRef>
          </c:cat>
          <c:val>
            <c:numRef>
              <c:f>Analysis!$B$133:$B$135</c:f>
              <c:numCache>
                <c:formatCode>General</c:formatCode>
                <c:ptCount val="2"/>
                <c:pt idx="0">
                  <c:v>24</c:v>
                </c:pt>
                <c:pt idx="1">
                  <c:v>46</c:v>
                </c:pt>
              </c:numCache>
            </c:numRef>
          </c:val>
          <c:extLst>
            <c:ext xmlns:c16="http://schemas.microsoft.com/office/drawing/2014/chart" uri="{C3380CC4-5D6E-409C-BE32-E72D297353CC}">
              <c16:uniqueId val="{00000000-3923-4CA4-9CD3-4AA27D95A96B}"/>
            </c:ext>
          </c:extLst>
        </c:ser>
        <c:ser>
          <c:idx val="1"/>
          <c:order val="1"/>
          <c:tx>
            <c:strRef>
              <c:f>Analysis!$C$132</c:f>
              <c:strCache>
                <c:ptCount val="1"/>
                <c:pt idx="0">
                  <c:v>Sum of Order Value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923-4CA4-9CD3-4AA27D95A96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6-3923-4CA4-9CD3-4AA27D95A9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Analysis!$A$133:$A$135</c:f>
              <c:strCache>
                <c:ptCount val="2"/>
                <c:pt idx="0">
                  <c:v>COD</c:v>
                </c:pt>
                <c:pt idx="1">
                  <c:v>Prepaid</c:v>
                </c:pt>
              </c:strCache>
            </c:strRef>
          </c:cat>
          <c:val>
            <c:numRef>
              <c:f>Analysis!$C$133:$C$135</c:f>
              <c:numCache>
                <c:formatCode>General</c:formatCode>
                <c:ptCount val="2"/>
                <c:pt idx="0">
                  <c:v>36403</c:v>
                </c:pt>
                <c:pt idx="1">
                  <c:v>58648</c:v>
                </c:pt>
              </c:numCache>
            </c:numRef>
          </c:val>
          <c:extLst>
            <c:ext xmlns:c16="http://schemas.microsoft.com/office/drawing/2014/chart" uri="{C3380CC4-5D6E-409C-BE32-E72D297353CC}">
              <c16:uniqueId val="{00000001-3923-4CA4-9CD3-4AA27D95A96B}"/>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560070</xdr:colOff>
      <xdr:row>109</xdr:row>
      <xdr:rowOff>83820</xdr:rowOff>
    </xdr:from>
    <xdr:to>
      <xdr:col>7</xdr:col>
      <xdr:colOff>915866</xdr:colOff>
      <xdr:row>125</xdr:row>
      <xdr:rowOff>139212</xdr:rowOff>
    </xdr:to>
    <xdr:graphicFrame macro="">
      <xdr:nvGraphicFramePr>
        <xdr:cNvPr id="2" name="Chart 1">
          <a:extLst>
            <a:ext uri="{FF2B5EF4-FFF2-40B4-BE49-F238E27FC236}">
              <a16:creationId xmlns:a16="http://schemas.microsoft.com/office/drawing/2014/main" id="{AC611D26-8BE2-DA03-D56B-4044F3B27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337093</xdr:colOff>
      <xdr:row>128</xdr:row>
      <xdr:rowOff>124558</xdr:rowOff>
    </xdr:from>
    <xdr:to>
      <xdr:col>5</xdr:col>
      <xdr:colOff>761999</xdr:colOff>
      <xdr:row>142</xdr:row>
      <xdr:rowOff>0</xdr:rowOff>
    </xdr:to>
    <xdr:graphicFrame macro="">
      <xdr:nvGraphicFramePr>
        <xdr:cNvPr id="3" name="Chart 2">
          <a:extLst>
            <a:ext uri="{FF2B5EF4-FFF2-40B4-BE49-F238E27FC236}">
              <a16:creationId xmlns:a16="http://schemas.microsoft.com/office/drawing/2014/main" id="{E3E8C243-B466-4348-AFE5-E62056E2E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176201</xdr:colOff>
      <xdr:row>156</xdr:row>
      <xdr:rowOff>30020</xdr:rowOff>
    </xdr:from>
    <xdr:to>
      <xdr:col>6</xdr:col>
      <xdr:colOff>1025769</xdr:colOff>
      <xdr:row>161</xdr:row>
      <xdr:rowOff>117231</xdr:rowOff>
    </xdr:to>
    <xdr:sp macro="" textlink="">
      <xdr:nvSpPr>
        <xdr:cNvPr id="4" name="TextBox 3">
          <a:extLst>
            <a:ext uri="{FF2B5EF4-FFF2-40B4-BE49-F238E27FC236}">
              <a16:creationId xmlns:a16="http://schemas.microsoft.com/office/drawing/2014/main" id="{5A88C8B2-BC67-9295-A4CD-44C49061A4F5}"/>
            </a:ext>
          </a:extLst>
        </xdr:cNvPr>
        <xdr:cNvSpPr txBox="1"/>
      </xdr:nvSpPr>
      <xdr:spPr>
        <a:xfrm>
          <a:off x="176201" y="27593905"/>
          <a:ext cx="8828587" cy="966441"/>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NOTE:</a:t>
          </a:r>
          <a:r>
            <a:rPr lang="en-US" sz="1200"/>
            <a:t> While order WWF2607028 (Ageing: 14 days) is prioritized in the top 5, orders WWF2607027 (14 days) and WWF2607047 (10 days) suffer from the exact same hub stall issue. These should be batched together in a single high-priority escalation ticket to the logistics partner.</a:t>
          </a:r>
        </a:p>
        <a:p>
          <a:r>
            <a:rPr lang="en-US" sz="1200"/>
            <a:t>Order WWF2607068</a:t>
          </a:r>
          <a:r>
            <a:rPr lang="en-US" sz="1200" baseline="0"/>
            <a:t> is also facing issue in AWS number, it should also be paused and assign new AWS number with order WWF2607063.</a:t>
          </a:r>
        </a:p>
        <a:p>
          <a:endParaRPr lang="en-US" sz="1100"/>
        </a:p>
        <a:p>
          <a:endParaRPr lang="en-US" sz="1100"/>
        </a:p>
        <a:p>
          <a:endParaRPr lang="en-US" sz="1100"/>
        </a:p>
        <a:p>
          <a:endParaRPr lang="en-US" sz="1100"/>
        </a:p>
      </xdr:txBody>
    </xdr:sp>
    <xdr:clientData/>
  </xdr:twoCellAnchor>
  <xdr:twoCellAnchor>
    <xdr:from>
      <xdr:col>0</xdr:col>
      <xdr:colOff>36991</xdr:colOff>
      <xdr:row>174</xdr:row>
      <xdr:rowOff>44389</xdr:rowOff>
    </xdr:from>
    <xdr:to>
      <xdr:col>6</xdr:col>
      <xdr:colOff>996462</xdr:colOff>
      <xdr:row>178</xdr:row>
      <xdr:rowOff>0</xdr:rowOff>
    </xdr:to>
    <xdr:sp macro="" textlink="">
      <xdr:nvSpPr>
        <xdr:cNvPr id="5" name="TextBox 4">
          <a:extLst>
            <a:ext uri="{FF2B5EF4-FFF2-40B4-BE49-F238E27FC236}">
              <a16:creationId xmlns:a16="http://schemas.microsoft.com/office/drawing/2014/main" id="{A292CEBF-DD04-34D8-B40F-113E63090FA1}"/>
            </a:ext>
          </a:extLst>
        </xdr:cNvPr>
        <xdr:cNvSpPr txBox="1"/>
      </xdr:nvSpPr>
      <xdr:spPr>
        <a:xfrm>
          <a:off x="36991" y="30524389"/>
          <a:ext cx="8938490" cy="658996"/>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1. Issue descriptions are entered as unstructured and free text instead of standardized predefined categories which could really help making dashboards and it would also save our time as manual data entry would take time but if we have to choose from a list that would be easier and time saving .</a:t>
          </a:r>
        </a:p>
      </xdr:txBody>
    </xdr:sp>
    <xdr:clientData/>
  </xdr:twoCellAnchor>
  <xdr:twoCellAnchor>
    <xdr:from>
      <xdr:col>0</xdr:col>
      <xdr:colOff>44460</xdr:colOff>
      <xdr:row>179</xdr:row>
      <xdr:rowOff>427</xdr:rowOff>
    </xdr:from>
    <xdr:to>
      <xdr:col>6</xdr:col>
      <xdr:colOff>952501</xdr:colOff>
      <xdr:row>181</xdr:row>
      <xdr:rowOff>146539</xdr:rowOff>
    </xdr:to>
    <xdr:sp macro="" textlink="">
      <xdr:nvSpPr>
        <xdr:cNvPr id="6" name="TextBox 5">
          <a:extLst>
            <a:ext uri="{FF2B5EF4-FFF2-40B4-BE49-F238E27FC236}">
              <a16:creationId xmlns:a16="http://schemas.microsoft.com/office/drawing/2014/main" id="{18DE119E-BF0D-7C12-A666-7E970DA979A0}"/>
            </a:ext>
          </a:extLst>
        </xdr:cNvPr>
        <xdr:cNvSpPr txBox="1"/>
      </xdr:nvSpPr>
      <xdr:spPr>
        <a:xfrm>
          <a:off x="44460" y="31359658"/>
          <a:ext cx="8887060" cy="497804"/>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2. All the dates have been recorded using the default timestamp which record the hour as 12:00 PM instead of capturing the actual execution time so the system should record correct time,</a:t>
          </a:r>
          <a:r>
            <a:rPr lang="en-US" sz="1200" baseline="0"/>
            <a:t> which can be further used for processing data.</a:t>
          </a:r>
          <a:endParaRPr lang="en-US" sz="1200"/>
        </a:p>
      </xdr:txBody>
    </xdr:sp>
    <xdr:clientData/>
  </xdr:twoCellAnchor>
  <xdr:twoCellAnchor>
    <xdr:from>
      <xdr:col>0</xdr:col>
      <xdr:colOff>44530</xdr:colOff>
      <xdr:row>183</xdr:row>
      <xdr:rowOff>22407</xdr:rowOff>
    </xdr:from>
    <xdr:to>
      <xdr:col>6</xdr:col>
      <xdr:colOff>974480</xdr:colOff>
      <xdr:row>187</xdr:row>
      <xdr:rowOff>146537</xdr:rowOff>
    </xdr:to>
    <xdr:sp macro="" textlink="">
      <xdr:nvSpPr>
        <xdr:cNvPr id="7" name="TextBox 6">
          <a:extLst>
            <a:ext uri="{FF2B5EF4-FFF2-40B4-BE49-F238E27FC236}">
              <a16:creationId xmlns:a16="http://schemas.microsoft.com/office/drawing/2014/main" id="{5DB86705-FD9F-5CAE-3E56-C2FE099484F8}"/>
            </a:ext>
          </a:extLst>
        </xdr:cNvPr>
        <xdr:cNvSpPr txBox="1"/>
      </xdr:nvSpPr>
      <xdr:spPr>
        <a:xfrm>
          <a:off x="44530" y="32085022"/>
          <a:ext cx="8908969" cy="827515"/>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3. Multiple active orders share the exact same AWB number which causes misdeliveries, delay in deliver and return.</a:t>
          </a:r>
          <a:r>
            <a:rPr lang="en-US" sz="1200" baseline="0"/>
            <a:t> Along with the fact that the customer will be unsatisfied thus affecting the business. The AWB column should be formatted in a way that accept only unique values so that we are immediately known that the AWB number is repeated/duplicate, for each month.</a:t>
          </a:r>
          <a:endParaRPr lang="en-US" sz="1200"/>
        </a:p>
      </xdr:txBody>
    </xdr:sp>
    <xdr:clientData/>
  </xdr:twoCellAnchor>
  <xdr:twoCellAnchor>
    <xdr:from>
      <xdr:col>0</xdr:col>
      <xdr:colOff>81206</xdr:colOff>
      <xdr:row>193</xdr:row>
      <xdr:rowOff>33581</xdr:rowOff>
    </xdr:from>
    <xdr:to>
      <xdr:col>6</xdr:col>
      <xdr:colOff>1003789</xdr:colOff>
      <xdr:row>197</xdr:row>
      <xdr:rowOff>136768</xdr:rowOff>
    </xdr:to>
    <xdr:sp macro="" textlink="">
      <xdr:nvSpPr>
        <xdr:cNvPr id="8" name="TextBox 7">
          <a:extLst>
            <a:ext uri="{FF2B5EF4-FFF2-40B4-BE49-F238E27FC236}">
              <a16:creationId xmlns:a16="http://schemas.microsoft.com/office/drawing/2014/main" id="{4E3CCED2-2921-F78E-45FB-639C4C9F8931}"/>
            </a:ext>
          </a:extLst>
        </xdr:cNvPr>
        <xdr:cNvSpPr txBox="1"/>
      </xdr:nvSpPr>
      <xdr:spPr>
        <a:xfrm>
          <a:off x="81206" y="33854658"/>
          <a:ext cx="8901602" cy="806572"/>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1. Form a system which creates</a:t>
          </a:r>
          <a:r>
            <a:rPr lang="en-US" sz="1200" baseline="0"/>
            <a:t> </a:t>
          </a:r>
          <a:r>
            <a:rPr lang="en-US" sz="1200"/>
            <a:t>alert Or highlight the order details along with the issue note/group if the aging days</a:t>
          </a:r>
          <a:r>
            <a:rPr lang="en-US" sz="1200" baseline="0"/>
            <a:t> exceeds</a:t>
          </a:r>
          <a:r>
            <a:rPr lang="en-US" sz="1200"/>
            <a:t> 5 days in transit,</a:t>
          </a:r>
          <a:r>
            <a:rPr lang="en-US" sz="1200" baseline="0"/>
            <a:t> so the </a:t>
          </a:r>
          <a:r>
            <a:rPr lang="en-US" sz="1200" baseline="0">
              <a:solidFill>
                <a:schemeClr val="dk1"/>
              </a:solidFill>
              <a:latin typeface="+mn-lt"/>
              <a:ea typeface="+mn-ea"/>
              <a:cs typeface="+mn-cs"/>
            </a:rPr>
            <a:t>logistics</a:t>
          </a:r>
          <a:r>
            <a:rPr lang="en-US" sz="1200" baseline="0"/>
            <a:t> managers can escalate directly the courier partner before customer become agitated/unsatisfied and cancels the order. This will help to lower the Average ageing days from 6.88 days.</a:t>
          </a:r>
          <a:endParaRPr lang="en-US" sz="1200"/>
        </a:p>
        <a:p>
          <a:endParaRPr lang="en-US" sz="1200"/>
        </a:p>
      </xdr:txBody>
    </xdr:sp>
    <xdr:clientData/>
  </xdr:twoCellAnchor>
  <xdr:twoCellAnchor>
    <xdr:from>
      <xdr:col>0</xdr:col>
      <xdr:colOff>90975</xdr:colOff>
      <xdr:row>199</xdr:row>
      <xdr:rowOff>4885</xdr:rowOff>
    </xdr:from>
    <xdr:to>
      <xdr:col>6</xdr:col>
      <xdr:colOff>1011115</xdr:colOff>
      <xdr:row>202</xdr:row>
      <xdr:rowOff>141043</xdr:rowOff>
    </xdr:to>
    <xdr:sp macro="" textlink="">
      <xdr:nvSpPr>
        <xdr:cNvPr id="9" name="TextBox 8">
          <a:extLst>
            <a:ext uri="{FF2B5EF4-FFF2-40B4-BE49-F238E27FC236}">
              <a16:creationId xmlns:a16="http://schemas.microsoft.com/office/drawing/2014/main" id="{250C4AD1-EA9B-9D56-361C-5C184D8E6592}"/>
            </a:ext>
          </a:extLst>
        </xdr:cNvPr>
        <xdr:cNvSpPr txBox="1"/>
      </xdr:nvSpPr>
      <xdr:spPr>
        <a:xfrm>
          <a:off x="90975" y="34881039"/>
          <a:ext cx="8899159" cy="663696"/>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2. </a:t>
          </a:r>
          <a:r>
            <a:rPr lang="en-US" sz="1200" baseline="0">
              <a:solidFill>
                <a:schemeClr val="dk1"/>
              </a:solidFill>
              <a:latin typeface="+mn-lt"/>
              <a:ea typeface="+mn-ea"/>
              <a:cs typeface="+mn-cs"/>
            </a:rPr>
            <a:t>The company can deploy an automated or SMS prompt message immediately when a customer issue arises whether it's incorrect detail or refusal to accept the order. The message should be sent immediately to customer and so the issue can be resolved as soon as possible</a:t>
          </a:r>
          <a:r>
            <a:rPr lang="en-US" sz="1200" baseline="0"/>
            <a:t>.</a:t>
          </a:r>
        </a:p>
      </xdr:txBody>
    </xdr:sp>
    <xdr:clientData/>
  </xdr:twoCellAnchor>
  <xdr:twoCellAnchor>
    <xdr:from>
      <xdr:col>0</xdr:col>
      <xdr:colOff>84260</xdr:colOff>
      <xdr:row>204</xdr:row>
      <xdr:rowOff>11598</xdr:rowOff>
    </xdr:from>
    <xdr:to>
      <xdr:col>6</xdr:col>
      <xdr:colOff>996462</xdr:colOff>
      <xdr:row>210</xdr:row>
      <xdr:rowOff>21980</xdr:rowOff>
    </xdr:to>
    <xdr:sp macro="" textlink="">
      <xdr:nvSpPr>
        <xdr:cNvPr id="10" name="TextBox 9">
          <a:extLst>
            <a:ext uri="{FF2B5EF4-FFF2-40B4-BE49-F238E27FC236}">
              <a16:creationId xmlns:a16="http://schemas.microsoft.com/office/drawing/2014/main" id="{3E00E055-06AF-7160-026C-4069289BE5FB}"/>
            </a:ext>
          </a:extLst>
        </xdr:cNvPr>
        <xdr:cNvSpPr txBox="1"/>
      </xdr:nvSpPr>
      <xdr:spPr>
        <a:xfrm>
          <a:off x="84260" y="35766983"/>
          <a:ext cx="8891221" cy="1065459"/>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3. Give custom discount of up to Rs50-Rs100 instant discount or free express shipping on</a:t>
          </a:r>
          <a:r>
            <a:rPr lang="en-US" sz="1200" baseline="0"/>
            <a:t> 1</a:t>
          </a:r>
          <a:r>
            <a:rPr lang="en-US" sz="1200"/>
            <a:t>00% prepaid orders, With the help of Installing a game kind of activity on the website which can spread awareness about the menstrual care and that will also increase the activity and time spent on website, It will not only enhance the customer interaction however also</a:t>
          </a:r>
          <a:r>
            <a:rPr lang="en-US" sz="1200" baseline="0"/>
            <a:t> </a:t>
          </a:r>
          <a:r>
            <a:rPr lang="en-US" sz="1200"/>
            <a:t>will naturally eliminate or reduce the proportion of COD orders and it will eventually lead to reduction in customer issues which is currently 32% of the total issues the WW1st is facing. </a:t>
          </a:r>
        </a:p>
        <a:p>
          <a:r>
            <a:rPr lang="en-US" sz="1200"/>
            <a:t>Additionally, the company can increase the token payment 25-30</a:t>
          </a:r>
          <a:r>
            <a:rPr lang="en-US" sz="1200" baseline="0"/>
            <a:t>% </a:t>
          </a:r>
          <a:r>
            <a:rPr lang="en-US" sz="1200"/>
            <a:t>on COD orders or they can charge extra for COD orders as COD charges.</a:t>
          </a:r>
        </a:p>
      </xdr:txBody>
    </xdr:sp>
    <xdr:clientData/>
  </xdr:twoCellAnchor>
  <xdr:twoCellAnchor>
    <xdr:from>
      <xdr:col>0</xdr:col>
      <xdr:colOff>43961</xdr:colOff>
      <xdr:row>72</xdr:row>
      <xdr:rowOff>36635</xdr:rowOff>
    </xdr:from>
    <xdr:to>
      <xdr:col>7</xdr:col>
      <xdr:colOff>820616</xdr:colOff>
      <xdr:row>75</xdr:row>
      <xdr:rowOff>29308</xdr:rowOff>
    </xdr:to>
    <xdr:sp macro="" textlink="">
      <xdr:nvSpPr>
        <xdr:cNvPr id="11" name="TextBox 10">
          <a:extLst>
            <a:ext uri="{FF2B5EF4-FFF2-40B4-BE49-F238E27FC236}">
              <a16:creationId xmlns:a16="http://schemas.microsoft.com/office/drawing/2014/main" id="{845DE257-1131-5C9B-C43D-F208F3165508}"/>
            </a:ext>
          </a:extLst>
        </xdr:cNvPr>
        <xdr:cNvSpPr txBox="1"/>
      </xdr:nvSpPr>
      <xdr:spPr>
        <a:xfrm>
          <a:off x="43961" y="12697558"/>
          <a:ext cx="9810751" cy="5202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1. Calculating total orders, gross order value, active booked value, delivered revenue and average order value</a:t>
          </a:r>
          <a:r>
            <a:rPr lang="en-US" sz="1200" b="1" baseline="0"/>
            <a:t> for analysis purpose and</a:t>
          </a:r>
          <a:r>
            <a:rPr lang="en-US" sz="1200" b="1"/>
            <a:t> clearly defined each metric.</a:t>
          </a:r>
        </a:p>
      </xdr:txBody>
    </xdr:sp>
    <xdr:clientData/>
  </xdr:twoCellAnchor>
  <xdr:twoCellAnchor>
    <xdr:from>
      <xdr:col>0</xdr:col>
      <xdr:colOff>51290</xdr:colOff>
      <xdr:row>106</xdr:row>
      <xdr:rowOff>117230</xdr:rowOff>
    </xdr:from>
    <xdr:to>
      <xdr:col>4</xdr:col>
      <xdr:colOff>1985596</xdr:colOff>
      <xdr:row>108</xdr:row>
      <xdr:rowOff>102576</xdr:rowOff>
    </xdr:to>
    <xdr:sp macro="" textlink="">
      <xdr:nvSpPr>
        <xdr:cNvPr id="12" name="TextBox 11">
          <a:extLst>
            <a:ext uri="{FF2B5EF4-FFF2-40B4-BE49-F238E27FC236}">
              <a16:creationId xmlns:a16="http://schemas.microsoft.com/office/drawing/2014/main" id="{0655A96B-2F4D-1993-5353-066BDF7B444E}"/>
            </a:ext>
          </a:extLst>
        </xdr:cNvPr>
        <xdr:cNvSpPr txBox="1"/>
      </xdr:nvSpPr>
      <xdr:spPr>
        <a:xfrm>
          <a:off x="51290" y="18822865"/>
          <a:ext cx="6689479" cy="359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mn-lt"/>
              <a:ea typeface="+mn-ea"/>
              <a:cs typeface="+mn-cs"/>
            </a:rPr>
            <a:t>2. Visualizing</a:t>
          </a:r>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order count, order value and percentage split by Current Status and Payment Method.</a:t>
          </a:r>
          <a:r>
            <a:rPr lang="en-US" sz="1200" b="1">
              <a:effectLst/>
            </a:rPr>
            <a:t> </a:t>
          </a:r>
          <a:endParaRPr lang="en-US" sz="1200" b="1"/>
        </a:p>
      </xdr:txBody>
    </xdr:sp>
    <xdr:clientData/>
  </xdr:twoCellAnchor>
  <xdr:twoCellAnchor>
    <xdr:from>
      <xdr:col>0</xdr:col>
      <xdr:colOff>95250</xdr:colOff>
      <xdr:row>89</xdr:row>
      <xdr:rowOff>43959</xdr:rowOff>
    </xdr:from>
    <xdr:to>
      <xdr:col>7</xdr:col>
      <xdr:colOff>886560</xdr:colOff>
      <xdr:row>103</xdr:row>
      <xdr:rowOff>139211</xdr:rowOff>
    </xdr:to>
    <xdr:sp macro="" textlink="">
      <xdr:nvSpPr>
        <xdr:cNvPr id="13" name="TextBox 12">
          <a:extLst>
            <a:ext uri="{FF2B5EF4-FFF2-40B4-BE49-F238E27FC236}">
              <a16:creationId xmlns:a16="http://schemas.microsoft.com/office/drawing/2014/main" id="{40043084-5124-675C-D0F3-16CF5541ED4D}"/>
            </a:ext>
          </a:extLst>
        </xdr:cNvPr>
        <xdr:cNvSpPr txBox="1"/>
      </xdr:nvSpPr>
      <xdr:spPr>
        <a:xfrm>
          <a:off x="95250" y="15752882"/>
          <a:ext cx="9825406" cy="2564425"/>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KEY INSIGHTS: </a:t>
          </a:r>
        </a:p>
        <a:p>
          <a:pPr lvl="0" algn="l"/>
          <a:r>
            <a:rPr lang="en-US" sz="1200"/>
            <a:t>41.94% of gross sales value is successfully delivered and organized as</a:t>
          </a:r>
          <a:r>
            <a:rPr lang="en-US" sz="1200" baseline="0"/>
            <a:t> Delivered revenue though nearly 58% of the order value is it still either lost due to cancelations or returns or still stuck in the transit.</a:t>
          </a:r>
        </a:p>
        <a:p>
          <a:pPr lvl="0" algn="l"/>
          <a:r>
            <a:rPr lang="en-US" sz="1200" baseline="0"/>
            <a:t>Approximately 25% of the total orders either got cancelled or got returned, and the major reasons behind this is either related to the customer itself or logistics</a:t>
          </a:r>
          <a:r>
            <a:rPr lang="en-US" sz="1100" baseline="0"/>
            <a:t>.</a:t>
          </a:r>
        </a:p>
        <a:p>
          <a:pPr lvl="0" algn="l"/>
          <a:endParaRPr lang="en-US" sz="1100" baseline="0"/>
        </a:p>
        <a:p>
          <a:pPr lvl="0" algn="l"/>
          <a:r>
            <a:rPr lang="en-US" sz="1200" b="1" baseline="0"/>
            <a:t>RECOMMENDATION:</a:t>
          </a:r>
        </a:p>
        <a:p>
          <a:pPr lvl="0" algn="l"/>
          <a:r>
            <a:rPr lang="en-US" sz="1200" baseline="0"/>
            <a:t>In order to deal with the customer related issues which are the major reason for the cancellations, we can implement COD charges that is, the prepaid amount charged for providing COD service and offer discounts only on prepaid orders in order to reward customers to opt for prepaid services instead of COD. We can also install a game kind of function on the website for customers to earn discounts which will increase the awareness of the customer towards the health of the women as well as it will increase the retention time of the customers on our website.</a:t>
          </a:r>
        </a:p>
        <a:p>
          <a:pPr lvl="0" algn="l"/>
          <a:r>
            <a:rPr lang="en-US" sz="1200" baseline="0"/>
            <a:t>Secondly dealing with the logistics issue which is becoming second most reason for the return or cancelation, The suggested delivery partners are Delivery and Express</a:t>
          </a:r>
        </a:p>
        <a:p>
          <a:pPr lvl="0" algn="l"/>
          <a:endParaRPr lang="en-US" sz="1200" baseline="0"/>
        </a:p>
      </xdr:txBody>
    </xdr:sp>
    <xdr:clientData/>
  </xdr:twoCellAnchor>
  <xdr:twoCellAnchor>
    <xdr:from>
      <xdr:col>0</xdr:col>
      <xdr:colOff>58616</xdr:colOff>
      <xdr:row>144</xdr:row>
      <xdr:rowOff>73269</xdr:rowOff>
    </xdr:from>
    <xdr:to>
      <xdr:col>6</xdr:col>
      <xdr:colOff>139212</xdr:colOff>
      <xdr:row>146</xdr:row>
      <xdr:rowOff>124557</xdr:rowOff>
    </xdr:to>
    <xdr:sp macro="" textlink="">
      <xdr:nvSpPr>
        <xdr:cNvPr id="14" name="TextBox 13">
          <a:extLst>
            <a:ext uri="{FF2B5EF4-FFF2-40B4-BE49-F238E27FC236}">
              <a16:creationId xmlns:a16="http://schemas.microsoft.com/office/drawing/2014/main" id="{40A52F6A-359A-952E-77FE-37626ECAE215}"/>
            </a:ext>
          </a:extLst>
        </xdr:cNvPr>
        <xdr:cNvSpPr txBox="1"/>
      </xdr:nvSpPr>
      <xdr:spPr>
        <a:xfrm>
          <a:off x="58616" y="25497692"/>
          <a:ext cx="8059615" cy="402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3. Identifing the five orders that need the most urgent attention. For each, explaining the problem, priority and next action.</a:t>
          </a:r>
        </a:p>
      </xdr:txBody>
    </xdr:sp>
    <xdr:clientData/>
  </xdr:twoCellAnchor>
  <xdr:twoCellAnchor>
    <xdr:from>
      <xdr:col>0</xdr:col>
      <xdr:colOff>43961</xdr:colOff>
      <xdr:row>169</xdr:row>
      <xdr:rowOff>65941</xdr:rowOff>
    </xdr:from>
    <xdr:to>
      <xdr:col>3</xdr:col>
      <xdr:colOff>1040423</xdr:colOff>
      <xdr:row>171</xdr:row>
      <xdr:rowOff>80595</xdr:rowOff>
    </xdr:to>
    <xdr:sp macro="" textlink="">
      <xdr:nvSpPr>
        <xdr:cNvPr id="15" name="TextBox 14">
          <a:extLst>
            <a:ext uri="{FF2B5EF4-FFF2-40B4-BE49-F238E27FC236}">
              <a16:creationId xmlns:a16="http://schemas.microsoft.com/office/drawing/2014/main" id="{970B4859-C31E-48ED-F55F-7767CCB8BE10}"/>
            </a:ext>
          </a:extLst>
        </xdr:cNvPr>
        <xdr:cNvSpPr txBox="1"/>
      </xdr:nvSpPr>
      <xdr:spPr>
        <a:xfrm>
          <a:off x="43961" y="29981768"/>
          <a:ext cx="4674577" cy="388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4. Identifing data-quality problems or inconsistencies in the export.</a:t>
          </a:r>
        </a:p>
      </xdr:txBody>
    </xdr:sp>
    <xdr:clientData/>
  </xdr:twoCellAnchor>
  <xdr:twoCellAnchor>
    <xdr:from>
      <xdr:col>0</xdr:col>
      <xdr:colOff>58616</xdr:colOff>
      <xdr:row>189</xdr:row>
      <xdr:rowOff>102576</xdr:rowOff>
    </xdr:from>
    <xdr:to>
      <xdr:col>4</xdr:col>
      <xdr:colOff>205155</xdr:colOff>
      <xdr:row>191</xdr:row>
      <xdr:rowOff>131883</xdr:rowOff>
    </xdr:to>
    <xdr:sp macro="" textlink="">
      <xdr:nvSpPr>
        <xdr:cNvPr id="16" name="TextBox 15">
          <a:extLst>
            <a:ext uri="{FF2B5EF4-FFF2-40B4-BE49-F238E27FC236}">
              <a16:creationId xmlns:a16="http://schemas.microsoft.com/office/drawing/2014/main" id="{CC21B83E-A981-0165-9F3C-A5A8E807313E}"/>
            </a:ext>
          </a:extLst>
        </xdr:cNvPr>
        <xdr:cNvSpPr txBox="1"/>
      </xdr:nvSpPr>
      <xdr:spPr>
        <a:xfrm>
          <a:off x="58616" y="33220268"/>
          <a:ext cx="4901712"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mn-lt"/>
              <a:ea typeface="+mn-ea"/>
              <a:cs typeface="+mn-cs"/>
            </a:rPr>
            <a:t>5. Concise operational insights or recommendations based on the data</a:t>
          </a:r>
          <a:r>
            <a:rPr lang="en-US" sz="1100" b="0" i="0" u="none" strike="noStrike">
              <a:solidFill>
                <a:schemeClr val="dk1"/>
              </a:solidFill>
              <a:effectLst/>
              <a:latin typeface="+mn-lt"/>
              <a:ea typeface="+mn-ea"/>
              <a:cs typeface="+mn-cs"/>
            </a:rPr>
            <a:t>.</a:t>
          </a:r>
          <a:r>
            <a:rPr lang="en-US">
              <a:effectLst/>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237.039036574075" createdVersion="8" refreshedVersion="8" minRefreshableVersion="3" recordCount="70" xr:uid="{0409C3D6-FB06-4E43-8186-B82F1066F46B}">
  <cacheSource type="worksheet">
    <worksheetSource name="Table_17"/>
  </cacheSource>
  <cacheFields count="22">
    <cacheField name="Order ID" numFmtId="0">
      <sharedItems/>
    </cacheField>
    <cacheField name="Order Date.1" numFmtId="14">
      <sharedItems containsSemiMixedTypes="0" containsNonDate="0" containsDate="1" containsString="0" minDate="2026-07-01T00:00:00" maxDate="2026-07-27T00:00:00"/>
    </cacheField>
    <cacheField name="Product" numFmtId="0">
      <sharedItems/>
    </cacheField>
    <cacheField name="SKU" numFmtId="0">
      <sharedItems/>
    </cacheField>
    <cacheField name="Quantity" numFmtId="0">
      <sharedItems containsSemiMixedTypes="0" containsString="0" containsNumber="1" containsInteger="1" minValue="1" maxValue="3"/>
    </cacheField>
    <cacheField name="Unit Price" numFmtId="0">
      <sharedItems containsSemiMixedTypes="0" containsString="0" containsNumber="1" containsInteger="1" minValue="999" maxValue="1499"/>
    </cacheField>
    <cacheField name="Discount" numFmtId="0">
      <sharedItems containsSemiMixedTypes="0" containsString="0" containsNumber="1" containsInteger="1" minValue="0" maxValue="200"/>
    </cacheField>
    <cacheField name="Shipping Charge" numFmtId="0">
      <sharedItems containsSemiMixedTypes="0" containsString="0" containsNumber="1" containsInteger="1" minValue="0" maxValue="49"/>
    </cacheField>
    <cacheField name="Order Value" numFmtId="0">
      <sharedItems containsSemiMixedTypes="0" containsString="0" containsNumber="1" containsInteger="1" minValue="799" maxValue="3897"/>
    </cacheField>
    <cacheField name="Payment Method" numFmtId="0">
      <sharedItems count="3">
        <s v="Prepaid"/>
        <s v="COD"/>
        <s v="012?" u="1"/>
      </sharedItems>
    </cacheField>
    <cacheField name="City" numFmtId="0">
      <sharedItems/>
    </cacheField>
    <cacheField name="State" numFmtId="0">
      <sharedItems/>
    </cacheField>
    <cacheField name="Courier" numFmtId="0">
      <sharedItems/>
    </cacheField>
    <cacheField name="AWB" numFmtId="0">
      <sharedItems containsBlank="1"/>
    </cacheField>
    <cacheField name="Dispatch Date.1" numFmtId="14">
      <sharedItems containsNonDate="0" containsDate="1" containsString="0" containsBlank="1" minDate="2026-07-02T00:00:00" maxDate="2026-07-24T00:00:00"/>
    </cacheField>
    <cacheField name="Current Status" numFmtId="0">
      <sharedItems count="7">
        <s v="Processing"/>
        <s v="Cancelled"/>
        <s v="In Transit"/>
        <s v="Out for Delivery"/>
        <s v="Delivered"/>
        <s v="RTO"/>
        <s v="Returned" u="1"/>
      </sharedItems>
    </cacheField>
    <cacheField name="Last Tracking Update.1" numFmtId="14">
      <sharedItems containsNonDate="0" containsDate="1" containsString="0" containsBlank="1" minDate="2026-07-06T00:00:00" maxDate="2026-07-28T00:00:00"/>
    </cacheField>
    <cacheField name="Delivery Date" numFmtId="14">
      <sharedItems containsNonDate="0" containsDate="1" containsString="0" containsBlank="1" minDate="2026-07-06T12:00:00" maxDate="2026-07-24T12:00:00"/>
    </cacheField>
    <cacheField name="Return/RTO Date" numFmtId="14">
      <sharedItems containsNonDate="0" containsDate="1" containsString="0" containsBlank="1" minDate="2026-07-07T12:00:00" maxDate="2026-07-24T12:00:00"/>
    </cacheField>
    <cacheField name="Issue Note" numFmtId="0">
      <sharedItems containsBlank="1"/>
    </cacheField>
    <cacheField name="AGEING DAYS" numFmtId="0">
      <sharedItems containsMixedTypes="1" containsNumber="1" containsInteger="1" minValue="1" maxValue="20"/>
    </cacheField>
    <cacheField name="ACTION REQUIR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WWF2607070"/>
    <d v="2026-07-26T00:00:00"/>
    <s v="WOMN Menopause Support"/>
    <s v="WWF-MENO-60"/>
    <n v="1"/>
    <n v="1199"/>
    <n v="0"/>
    <n v="0"/>
    <n v="1199"/>
    <x v="0"/>
    <s v="Bhopal"/>
    <s v="Madhya Pradesh"/>
    <s v="Delhivery"/>
    <m/>
    <m/>
    <x v="0"/>
    <m/>
    <m/>
    <m/>
    <m/>
    <n v="1"/>
    <s v="Follow up on dispatch"/>
  </r>
  <r>
    <s v="WWF2607069"/>
    <d v="2026-07-25T00:00:00"/>
    <s v="WOMN Fertility Support"/>
    <s v="WWF-FER-60"/>
    <n v="1"/>
    <n v="1499"/>
    <n v="100"/>
    <n v="0"/>
    <n v="1399"/>
    <x v="0"/>
    <s v="Dehradun"/>
    <s v="Uttarakhand"/>
    <s v="Delhivery"/>
    <m/>
    <m/>
    <x v="0"/>
    <m/>
    <m/>
    <m/>
    <s v="Warehouse allocation pending"/>
    <n v="2"/>
    <s v="Follow up on dispatch"/>
  </r>
  <r>
    <s v="WWF2607068"/>
    <d v="2026-07-25T00:00:00"/>
    <s v="WOMN PCOS Support"/>
    <s v="WWF-PCOS-60"/>
    <n v="1"/>
    <n v="999"/>
    <n v="0"/>
    <n v="0"/>
    <n v="999"/>
    <x v="0"/>
    <s v="New Delhi"/>
    <s v="Delhi"/>
    <s v="Xpressbees"/>
    <s v="XB2607000170"/>
    <m/>
    <x v="0"/>
    <m/>
    <m/>
    <m/>
    <s v="AWB generated but dispatch date is blank"/>
    <n v="2"/>
    <s v="Follow up on dispatch"/>
  </r>
  <r>
    <s v="WWF2607067"/>
    <d v="2026-07-22T00:00:00"/>
    <s v="WOMN Fertility Support"/>
    <s v="WWF-FER-60"/>
    <n v="2"/>
    <n v="1499"/>
    <n v="100"/>
    <n v="0"/>
    <n v="2898"/>
    <x v="1"/>
    <s v="Dehradun"/>
    <s v="Uttarakhand"/>
    <s v="Ecom Express"/>
    <m/>
    <m/>
    <x v="1"/>
    <m/>
    <m/>
    <m/>
    <s v="Duplicate order"/>
    <n v="5"/>
    <s v="No action needed"/>
  </r>
  <r>
    <s v="WWF2607066"/>
    <d v="2026-07-22T00:00:00"/>
    <s v="WOMN Perimenopause Support"/>
    <s v="WWF-PERI-60"/>
    <n v="1"/>
    <n v="1299"/>
    <n v="0"/>
    <n v="49"/>
    <n v="1348"/>
    <x v="1"/>
    <s v="Faridabad"/>
    <s v="Haryana"/>
    <s v="Ecom Express"/>
    <s v="ECM2607000131"/>
    <d v="2026-07-23T00:00:00"/>
    <x v="2"/>
    <d v="2026-07-23T00:00:00"/>
    <m/>
    <m/>
    <s v="No movement after initial hub scan"/>
    <n v="5"/>
    <s v="Track with courier"/>
  </r>
  <r>
    <s v="WWF2607065"/>
    <d v="2026-07-22T00:00:00"/>
    <s v="WOMN Prenatal Support"/>
    <s v="WWF-PRE-60"/>
    <n v="2"/>
    <n v="1299"/>
    <n v="0"/>
    <n v="0"/>
    <n v="2598"/>
    <x v="0"/>
    <s v="Bhopal"/>
    <s v="Madhya Pradesh"/>
    <s v="Blue Dart"/>
    <s v="BD2607000143"/>
    <d v="2026-07-23T00:00:00"/>
    <x v="3"/>
    <d v="2026-07-27T00:00:00"/>
    <m/>
    <m/>
    <m/>
    <n v="5"/>
    <s v="Confirm delivery attempt"/>
  </r>
  <r>
    <s v="WWF2607064"/>
    <d v="2026-07-22T00:00:00"/>
    <s v="WOMN PCOS Support"/>
    <s v="WWF-PCOS-60"/>
    <n v="2"/>
    <n v="999"/>
    <n v="100"/>
    <n v="0"/>
    <n v="1898"/>
    <x v="1"/>
    <s v="Indore"/>
    <s v="Madhya Pradesh"/>
    <s v="Ecom Express"/>
    <m/>
    <m/>
    <x v="0"/>
    <m/>
    <m/>
    <m/>
    <s v="Stock confirmation pending"/>
    <n v="5"/>
    <s v="Follow up on dispatch"/>
  </r>
  <r>
    <s v="WWF2607063"/>
    <d v="2026-07-21T00:00:00"/>
    <s v="WOMN PCOS Support"/>
    <s v="WWF-PCOS-60"/>
    <n v="1"/>
    <n v="999"/>
    <n v="0"/>
    <n v="0"/>
    <n v="999"/>
    <x v="0"/>
    <s v="Ahmedabad"/>
    <s v="Gujarat"/>
    <s v="Blue Dart"/>
    <s v="ECM2607000131"/>
    <d v="2026-07-22T00:00:00"/>
    <x v="2"/>
    <m/>
    <m/>
    <m/>
    <s v="AWB value matches another active order"/>
    <n v="6"/>
    <s v="Track with courier"/>
  </r>
  <r>
    <s v="WWF2607062"/>
    <d v="2026-07-21T00:00:00"/>
    <s v="WOMN Prenatal Support"/>
    <s v="WWF-PRE-60"/>
    <n v="1"/>
    <n v="1299"/>
    <n v="200"/>
    <n v="49"/>
    <n v="1148"/>
    <x v="1"/>
    <s v="Mumbai"/>
    <s v="Maharashtra"/>
    <s v="Xpressbees"/>
    <s v="XB2607000138"/>
    <d v="2026-07-22T00:00:00"/>
    <x v="2"/>
    <d v="2026-07-25T00:00:00"/>
    <m/>
    <m/>
    <m/>
    <n v="6"/>
    <s v="Track with courier"/>
  </r>
  <r>
    <s v="WWF2607061"/>
    <d v="2026-07-21T00:00:00"/>
    <s v="WOMN Fertility Support"/>
    <s v="WWF-FER-60"/>
    <n v="1"/>
    <n v="1499"/>
    <n v="0"/>
    <n v="0"/>
    <n v="1499"/>
    <x v="1"/>
    <s v="Ahmedabad"/>
    <s v="Gujarat"/>
    <s v="Delhivery"/>
    <m/>
    <m/>
    <x v="0"/>
    <m/>
    <m/>
    <m/>
    <s v="Warehouse allocation pending"/>
    <n v="6"/>
    <s v="Follow up on dispatch"/>
  </r>
  <r>
    <s v="WWF2607060"/>
    <d v="2026-07-20T00:00:00"/>
    <s v="WOMN PCOS Support"/>
    <s v="WWF-PCOS-60"/>
    <n v="1"/>
    <n v="999"/>
    <n v="100"/>
    <n v="0"/>
    <n v="899"/>
    <x v="0"/>
    <s v="Indore"/>
    <s v="Madhya Pradesh"/>
    <s v="Blue Dart"/>
    <s v="BD2607000135"/>
    <d v="2026-07-21T00:00:00"/>
    <x v="2"/>
    <d v="2026-07-23T00:00:00"/>
    <m/>
    <m/>
    <m/>
    <n v="7"/>
    <s v="Track with courier"/>
  </r>
  <r>
    <s v="WWF2607059"/>
    <d v="2026-07-20T00:00:00"/>
    <s v="WOMN Thyroid Support"/>
    <s v="WWF-THY-60"/>
    <n v="1"/>
    <n v="999"/>
    <n v="0"/>
    <n v="0"/>
    <n v="999"/>
    <x v="0"/>
    <s v="Faridabad"/>
    <s v="Haryana"/>
    <s v="Xpressbees"/>
    <s v="XB2607000139"/>
    <d v="2026-07-21T00:00:00"/>
    <x v="3"/>
    <d v="2026-07-24T00:00:00"/>
    <m/>
    <m/>
    <s v="Customer requested evening delivery"/>
    <n v="7"/>
    <s v="Confirm delivery attempt"/>
  </r>
  <r>
    <s v="WWF2607058"/>
    <d v="2026-07-20T00:00:00"/>
    <s v="WOMN Thyroid Support"/>
    <s v="WWF-THY-60"/>
    <n v="1"/>
    <n v="999"/>
    <n v="200"/>
    <n v="49"/>
    <n v="848"/>
    <x v="1"/>
    <s v="Kolkata"/>
    <s v="West Bengal"/>
    <s v="Xpressbees"/>
    <m/>
    <m/>
    <x v="0"/>
    <m/>
    <m/>
    <m/>
    <m/>
    <n v="7"/>
    <s v="Follow up on dispatch"/>
  </r>
  <r>
    <s v="WWF2607057"/>
    <d v="2026-07-20T00:00:00"/>
    <s v="WOMN Thyroid Support"/>
    <s v="WWF-THY-60"/>
    <n v="2"/>
    <n v="999"/>
    <n v="100"/>
    <n v="0"/>
    <n v="1898"/>
    <x v="0"/>
    <s v="Bengaluru"/>
    <s v="Karnataka"/>
    <s v="Blue Dart"/>
    <m/>
    <m/>
    <x v="0"/>
    <m/>
    <m/>
    <m/>
    <m/>
    <n v="7"/>
    <s v="Follow up on dispatch"/>
  </r>
  <r>
    <s v="WWF2607056"/>
    <d v="2026-07-19T00:00:00"/>
    <s v="WOMN Thyroid Support"/>
    <s v="WWF-THY-60"/>
    <n v="1"/>
    <n v="999"/>
    <n v="100"/>
    <n v="0"/>
    <n v="899"/>
    <x v="0"/>
    <s v="Indore"/>
    <s v="Madhya Pradesh"/>
    <s v="Ecom Express"/>
    <s v="ECM2607000134"/>
    <d v="2026-07-20T00:00:00"/>
    <x v="2"/>
    <d v="2026-07-23T00:00:00"/>
    <m/>
    <m/>
    <m/>
    <n v="8"/>
    <s v="Track with courier"/>
  </r>
  <r>
    <s v="WWF2607055"/>
    <d v="2026-07-19T00:00:00"/>
    <s v="WOMN Fertility Support"/>
    <s v="WWF-FER-60"/>
    <n v="1"/>
    <n v="1499"/>
    <n v="100"/>
    <n v="0"/>
    <n v="1399"/>
    <x v="0"/>
    <s v="Bhopal"/>
    <s v="Madhya Pradesh"/>
    <s v="Ecom Express"/>
    <m/>
    <m/>
    <x v="0"/>
    <m/>
    <m/>
    <m/>
    <s v="Warehouse allocation pending"/>
    <n v="8"/>
    <s v="Follow up on dispatch"/>
  </r>
  <r>
    <s v="WWF2607054"/>
    <d v="2026-07-18T00:00:00"/>
    <s v="WOMN Fertility Support"/>
    <s v="WWF-FER-60"/>
    <n v="1"/>
    <n v="1499"/>
    <n v="150"/>
    <n v="0"/>
    <n v="1349"/>
    <x v="0"/>
    <s v="Chandigarh"/>
    <s v="Chandigarh"/>
    <s v="Ecom Express"/>
    <s v="ECM2607000101"/>
    <d v="2026-07-19T00:00:00"/>
    <x v="4"/>
    <d v="2026-07-24T00:00:00"/>
    <d v="2026-07-24T12:00:00"/>
    <m/>
    <m/>
    <n v="6"/>
    <s v="No action needed"/>
  </r>
  <r>
    <s v="WWF2607053"/>
    <d v="2026-07-18T00:00:00"/>
    <s v="WOMN Menopause Support"/>
    <s v="WWF-MENO-60"/>
    <n v="1"/>
    <n v="1199"/>
    <n v="0"/>
    <n v="0"/>
    <n v="1199"/>
    <x v="0"/>
    <s v="Noida"/>
    <s v="Uttar Pradesh"/>
    <s v="Ecom Express"/>
    <s v="ECM2607000103"/>
    <d v="2026-07-19T00:00:00"/>
    <x v="4"/>
    <d v="2026-07-21T00:00:00"/>
    <d v="2026-07-21T12:00:00"/>
    <m/>
    <m/>
    <n v="3"/>
    <s v="No action needed"/>
  </r>
  <r>
    <s v="WWF2607052"/>
    <d v="2026-07-18T00:00:00"/>
    <s v="WOMN Perimenopause Support"/>
    <s v="WWF-PERI-60"/>
    <n v="2"/>
    <n v="1299"/>
    <n v="0"/>
    <n v="0"/>
    <n v="2598"/>
    <x v="1"/>
    <s v="Patna"/>
    <s v="Bihar"/>
    <s v="Blue Dart"/>
    <s v="BD2607000113"/>
    <d v="2026-07-19T00:00:00"/>
    <x v="4"/>
    <d v="2026-07-24T00:00:00"/>
    <d v="2026-07-24T12:00:00"/>
    <m/>
    <m/>
    <n v="6"/>
    <s v="No action needed"/>
  </r>
  <r>
    <s v="WWF2607051"/>
    <d v="2026-07-18T00:00:00"/>
    <s v="WOMN Prenatal Support"/>
    <s v="WWF-PRE-60"/>
    <n v="1"/>
    <n v="1299"/>
    <n v="200"/>
    <n v="0"/>
    <n v="1099"/>
    <x v="0"/>
    <s v="Noida"/>
    <s v="Uttar Pradesh"/>
    <s v="Ecom Express"/>
    <s v="ECM2607000117"/>
    <d v="2026-07-19T00:00:00"/>
    <x v="4"/>
    <d v="2026-07-22T00:00:00"/>
    <d v="2026-07-22T12:00:00"/>
    <m/>
    <m/>
    <n v="4"/>
    <s v="No action needed"/>
  </r>
  <r>
    <s v="WWF2607050"/>
    <d v="2026-07-18T00:00:00"/>
    <s v="WOMN Prenatal Support"/>
    <s v="WWF-PRE-60"/>
    <n v="1"/>
    <n v="1299"/>
    <n v="0"/>
    <n v="49"/>
    <n v="1348"/>
    <x v="1"/>
    <s v="Kolkata"/>
    <s v="West Bengal"/>
    <s v="Delhivery"/>
    <s v="DLV2607000140"/>
    <d v="2026-07-19T00:00:00"/>
    <x v="3"/>
    <d v="2026-07-24T00:00:00"/>
    <m/>
    <m/>
    <s v="Delivery call not answered"/>
    <n v="9"/>
    <s v="Confirm delivery attempt"/>
  </r>
  <r>
    <s v="WWF2607049"/>
    <d v="2026-07-18T00:00:00"/>
    <s v="WOMN Thyroid Support"/>
    <s v="WWF-THY-60"/>
    <n v="1"/>
    <n v="999"/>
    <n v="0"/>
    <n v="0"/>
    <n v="999"/>
    <x v="0"/>
    <s v="Indore"/>
    <s v="Madhya Pradesh"/>
    <s v="Ecom Express"/>
    <s v="ECM2607000141"/>
    <d v="2026-07-19T00:00:00"/>
    <x v="3"/>
    <d v="2026-07-27T00:00:00"/>
    <m/>
    <m/>
    <m/>
    <n v="9"/>
    <s v="Confirm delivery attempt"/>
  </r>
  <r>
    <s v="WWF2607048"/>
    <d v="2026-07-17T00:00:00"/>
    <s v="WOMN Menopause Support"/>
    <s v="WWF-MENO-60"/>
    <n v="1"/>
    <n v="1199"/>
    <n v="0"/>
    <n v="49"/>
    <n v="1248"/>
    <x v="1"/>
    <s v="Bhopal"/>
    <s v="Madhya Pradesh"/>
    <s v="Blue Dart"/>
    <s v="BD2607000119"/>
    <d v="2026-07-18T00:00:00"/>
    <x v="4"/>
    <d v="2026-07-20T00:00:00"/>
    <d v="2026-07-20T12:00:00"/>
    <m/>
    <m/>
    <n v="3"/>
    <s v="No action needed"/>
  </r>
  <r>
    <s v="WWF2607047"/>
    <d v="2026-07-17T00:00:00"/>
    <s v="WOMN Menopause Support"/>
    <s v="WWF-MENO-60"/>
    <n v="1"/>
    <n v="1199"/>
    <n v="0"/>
    <n v="0"/>
    <n v="1199"/>
    <x v="0"/>
    <s v="Bhopal"/>
    <s v="Madhya Pradesh"/>
    <s v="Delhivery"/>
    <s v="DLV2607000132"/>
    <d v="2026-07-18T00:00:00"/>
    <x v="2"/>
    <d v="2026-07-18T00:00:00"/>
    <m/>
    <m/>
    <s v="No movement after initial hub scan"/>
    <n v="10"/>
    <s v="Track with courier"/>
  </r>
  <r>
    <s v="WWF2607046"/>
    <d v="2026-07-17T00:00:00"/>
    <s v="WOMN Thyroid Support"/>
    <s v="WWF-THY-60"/>
    <n v="1"/>
    <n v="999"/>
    <n v="200"/>
    <n v="0"/>
    <n v="799"/>
    <x v="0"/>
    <s v="Jaipur"/>
    <s v="Rajasthan"/>
    <s v="Delhivery"/>
    <m/>
    <m/>
    <x v="0"/>
    <m/>
    <m/>
    <m/>
    <m/>
    <n v="10"/>
    <s v="Follow up on dispatch"/>
  </r>
  <r>
    <s v="WWF2607045"/>
    <d v="2026-07-16T00:00:00"/>
    <s v="WOMN Perimenopause Support"/>
    <s v="WWF-PERI-60"/>
    <n v="1"/>
    <n v="1299"/>
    <n v="150"/>
    <n v="0"/>
    <n v="1149"/>
    <x v="0"/>
    <s v="Lucknow"/>
    <s v="Uttar Pradesh"/>
    <s v="Ecom Express"/>
    <m/>
    <m/>
    <x v="1"/>
    <m/>
    <m/>
    <m/>
    <s v="Duplicate order"/>
    <n v="11"/>
    <s v="No action needed"/>
  </r>
  <r>
    <s v="WWF2607044"/>
    <d v="2026-07-16T00:00:00"/>
    <s v="WOMN Fertility Support"/>
    <s v="WWF-FER-60"/>
    <n v="1"/>
    <n v="1499"/>
    <n v="150"/>
    <n v="49"/>
    <n v="1398"/>
    <x v="1"/>
    <s v="Mumbai"/>
    <s v="Maharashtra"/>
    <s v="Blue Dart"/>
    <s v="BD2607000160"/>
    <d v="2026-07-17T00:00:00"/>
    <x v="1"/>
    <m/>
    <m/>
    <m/>
    <s v="Status shows cancelled although dispatch data exists"/>
    <n v="11"/>
    <s v="No action needed"/>
  </r>
  <r>
    <s v="WWF2607043"/>
    <d v="2026-07-16T00:00:00"/>
    <s v="WOMN Fertility Support"/>
    <s v="WWF-FER-60"/>
    <n v="1"/>
    <n v="1499"/>
    <n v="0"/>
    <n v="0"/>
    <n v="1499"/>
    <x v="0"/>
    <s v="Ghaziabad"/>
    <s v="Uttar Pradesh"/>
    <s v="Delhivery"/>
    <s v="DLV2607000114"/>
    <d v="2026-07-17T00:00:00"/>
    <x v="4"/>
    <d v="2026-07-22T00:00:00"/>
    <d v="2026-07-22T12:00:00"/>
    <m/>
    <m/>
    <n v="6"/>
    <s v="No action needed"/>
  </r>
  <r>
    <s v="WWF2607042"/>
    <d v="2026-07-16T00:00:00"/>
    <s v="WOMN Menopause Support"/>
    <s v="WWF-MENO-60"/>
    <n v="1"/>
    <n v="1199"/>
    <n v="0"/>
    <n v="0"/>
    <n v="1199"/>
    <x v="0"/>
    <s v="Hyderabad"/>
    <s v="Telangana"/>
    <s v="Delhivery"/>
    <s v="DLV2607000116"/>
    <d v="2026-07-17T00:00:00"/>
    <x v="4"/>
    <d v="2026-07-22T00:00:00"/>
    <d v="2026-07-22T12:00:00"/>
    <m/>
    <m/>
    <n v="6"/>
    <s v="No action needed"/>
  </r>
  <r>
    <s v="WWF2607041"/>
    <d v="2026-07-16T00:00:00"/>
    <s v="WOMN Thyroid Support"/>
    <s v="WWF-THY-60"/>
    <n v="1"/>
    <n v="999"/>
    <n v="100"/>
    <n v="0"/>
    <n v="899"/>
    <x v="0"/>
    <s v="New Delhi"/>
    <s v="Delhi"/>
    <s v="Xpressbees"/>
    <s v="XB2607000125"/>
    <d v="2026-07-17T00:00:00"/>
    <x v="4"/>
    <d v="2026-07-18T00:00:00"/>
    <d v="2026-07-18T12:00:00"/>
    <m/>
    <m/>
    <n v="2"/>
    <s v="No action needed"/>
  </r>
  <r>
    <s v="WWF2607040"/>
    <d v="2026-07-15T00:00:00"/>
    <s v="WOMN PCOS Support"/>
    <s v="WWF-PCOS-60"/>
    <n v="1"/>
    <n v="999"/>
    <n v="0"/>
    <n v="0"/>
    <n v="999"/>
    <x v="0"/>
    <s v="New Delhi"/>
    <s v="Delhi"/>
    <s v="Ecom Express"/>
    <s v="ECM2607000102"/>
    <d v="2026-07-17T00:00:00"/>
    <x v="4"/>
    <d v="2026-07-22T00:00:00"/>
    <d v="2026-07-22T12:00:00"/>
    <m/>
    <m/>
    <n v="7"/>
    <s v="No action needed"/>
  </r>
  <r>
    <s v="WWF2607039"/>
    <d v="2026-07-15T00:00:00"/>
    <s v="WOMN Menopause Support"/>
    <s v="WWF-MENO-60"/>
    <n v="1"/>
    <n v="1199"/>
    <n v="150"/>
    <n v="0"/>
    <n v="1049"/>
    <x v="0"/>
    <s v="Hyderabad"/>
    <s v="Telangana"/>
    <s v="Ecom Express"/>
    <s v="ECM2607000122"/>
    <d v="2026-07-16T00:00:00"/>
    <x v="4"/>
    <d v="2026-07-17T00:00:00"/>
    <d v="2026-07-17T12:00:00"/>
    <m/>
    <m/>
    <n v="2"/>
    <s v="No action needed"/>
  </r>
  <r>
    <s v="WWF2607038"/>
    <d v="2026-07-15T00:00:00"/>
    <s v="WOMN Menopause Support"/>
    <s v="WWF-MENO-60"/>
    <n v="2"/>
    <n v="1199"/>
    <n v="200"/>
    <n v="0"/>
    <n v="2198"/>
    <x v="1"/>
    <s v="New Delhi"/>
    <s v="Delhi"/>
    <s v="Xpressbees"/>
    <s v="XB2607000133"/>
    <d v="2026-07-16T00:00:00"/>
    <x v="2"/>
    <d v="2026-07-18T00:00:00"/>
    <m/>
    <m/>
    <m/>
    <n v="12"/>
    <s v="Track with courier"/>
  </r>
  <r>
    <s v="WWF2607037"/>
    <d v="2026-07-15T00:00:00"/>
    <s v="WOMN Thyroid Support"/>
    <s v="WWF-THY-60"/>
    <n v="1"/>
    <n v="999"/>
    <n v="0"/>
    <n v="0"/>
    <n v="999"/>
    <x v="0"/>
    <s v="Pune"/>
    <s v="Maharashtra"/>
    <s v="Blue Dart"/>
    <s v="BD2607000144"/>
    <d v="2026-07-16T00:00:00"/>
    <x v="3"/>
    <d v="2026-07-27T00:00:00"/>
    <m/>
    <m/>
    <m/>
    <n v="12"/>
    <s v="Confirm delivery attempt"/>
  </r>
  <r>
    <s v="WWF2607036"/>
    <d v="2026-07-14T00:00:00"/>
    <s v="WOMN Perimenopause Support"/>
    <s v="WWF-PERI-60"/>
    <n v="1"/>
    <n v="1299"/>
    <n v="200"/>
    <n v="49"/>
    <n v="1148"/>
    <x v="1"/>
    <s v="Faridabad"/>
    <s v="Haryana"/>
    <s v="Blue Dart"/>
    <s v="BD2607000112"/>
    <d v="2026-07-15T00:00:00"/>
    <x v="4"/>
    <d v="2026-07-19T00:00:00"/>
    <d v="2026-07-19T12:00:00"/>
    <m/>
    <m/>
    <n v="5"/>
    <s v="No action needed"/>
  </r>
  <r>
    <s v="WWF2607035"/>
    <d v="2026-07-14T00:00:00"/>
    <s v="WOMN Thyroid Support"/>
    <s v="WWF-THY-60"/>
    <n v="1"/>
    <n v="999"/>
    <n v="100"/>
    <n v="0"/>
    <n v="899"/>
    <x v="0"/>
    <s v="Chandigarh"/>
    <s v="Chandigarh"/>
    <s v="Delhivery"/>
    <s v="DLV2607000118"/>
    <d v="2026-07-15T00:00:00"/>
    <x v="4"/>
    <d v="2026-07-19T00:00:00"/>
    <d v="2026-07-19T12:00:00"/>
    <m/>
    <m/>
    <n v="5"/>
    <s v="No action needed"/>
  </r>
  <r>
    <s v="WWF2607034"/>
    <d v="2026-07-14T00:00:00"/>
    <s v="WOMN Perimenopause Support"/>
    <s v="WWF-PERI-60"/>
    <n v="3"/>
    <n v="1299"/>
    <n v="0"/>
    <n v="0"/>
    <n v="3897"/>
    <x v="0"/>
    <s v="Ghaziabad"/>
    <s v="Uttar Pradesh"/>
    <s v="Blue Dart"/>
    <s v="BD2607000129"/>
    <d v="2026-07-15T00:00:00"/>
    <x v="2"/>
    <d v="2026-07-15T00:00:00"/>
    <m/>
    <m/>
    <s v="No movement after initial hub scan"/>
    <n v="13"/>
    <s v="Track with courier"/>
  </r>
  <r>
    <s v="WWF2607033"/>
    <d v="2026-07-14T00:00:00"/>
    <s v="WOMN PCOS Support"/>
    <s v="WWF-PCOS-60"/>
    <n v="1"/>
    <n v="999"/>
    <n v="150"/>
    <n v="49"/>
    <n v="898"/>
    <x v="1"/>
    <s v="Dehradun"/>
    <s v="Uttarakhand"/>
    <s v="Blue Dart"/>
    <s v="BD2607000142"/>
    <d v="2026-07-15T00:00:00"/>
    <x v="3"/>
    <d v="2026-07-27T00:00:00"/>
    <m/>
    <m/>
    <m/>
    <n v="13"/>
    <s v="Confirm delivery attempt"/>
  </r>
  <r>
    <s v="WWF2607032"/>
    <d v="2026-07-14T00:00:00"/>
    <s v="WOMN Menopause Support"/>
    <s v="WWF-MENO-60"/>
    <n v="1"/>
    <n v="1199"/>
    <n v="200"/>
    <n v="49"/>
    <n v="1048"/>
    <x v="1"/>
    <s v="Bengaluru"/>
    <s v="Karnataka"/>
    <s v="Delhivery"/>
    <s v="DLV2607000149"/>
    <d v="2026-07-15T00:00:00"/>
    <x v="5"/>
    <d v="2026-07-24T00:00:00"/>
    <m/>
    <d v="2026-07-24T12:00:00"/>
    <s v="Incomplete address"/>
    <n v="10"/>
    <s v="Monitor"/>
  </r>
  <r>
    <s v="WWF2607031"/>
    <d v="2026-07-14T00:00:00"/>
    <s v="WOMN Thyroid Support"/>
    <s v="WWF-THY-60"/>
    <n v="1"/>
    <n v="999"/>
    <n v="200"/>
    <n v="0"/>
    <n v="799"/>
    <x v="0"/>
    <s v="Faridabad"/>
    <s v="Haryana"/>
    <s v="Xpressbees"/>
    <s v="XB2607000151"/>
    <d v="2026-07-15T00:00:00"/>
    <x v="5"/>
    <d v="2026-07-21T00:00:00"/>
    <m/>
    <d v="2026-07-21T12:00:00"/>
    <s v="Customer unreachable"/>
    <n v="7"/>
    <s v="Monitor"/>
  </r>
  <r>
    <s v="WWF2607030"/>
    <d v="2026-07-13T00:00:00"/>
    <s v="WOMN Menopause Support"/>
    <s v="WWF-MENO-60"/>
    <n v="1"/>
    <n v="1199"/>
    <n v="0"/>
    <n v="0"/>
    <n v="1199"/>
    <x v="0"/>
    <s v="Jaipur"/>
    <s v="Rajasthan"/>
    <s v="Ecom Express"/>
    <m/>
    <m/>
    <x v="1"/>
    <m/>
    <m/>
    <m/>
    <s v="Duplicate order"/>
    <n v="14"/>
    <s v="No action needed"/>
  </r>
  <r>
    <s v="WWF2607029"/>
    <d v="2026-07-13T00:00:00"/>
    <s v="WOMN Prenatal Support"/>
    <s v="WWF-PRE-60"/>
    <n v="1"/>
    <n v="1299"/>
    <n v="150"/>
    <n v="0"/>
    <n v="1149"/>
    <x v="0"/>
    <s v="Bengaluru"/>
    <s v="Karnataka"/>
    <s v="Blue Dart"/>
    <s v="BD2607000121"/>
    <d v="2026-07-14T00:00:00"/>
    <x v="4"/>
    <d v="2026-07-15T00:00:00"/>
    <d v="2026-07-15T12:00:00"/>
    <m/>
    <m/>
    <n v="2"/>
    <s v="No action needed"/>
  </r>
  <r>
    <s v="WWF2607028"/>
    <d v="2026-07-13T00:00:00"/>
    <s v="WOMN Perimenopause Support"/>
    <s v="WWF-PERI-60"/>
    <n v="1"/>
    <n v="1299"/>
    <n v="200"/>
    <n v="0"/>
    <n v="1099"/>
    <x v="0"/>
    <s v="Hyderabad"/>
    <s v="Telangana"/>
    <s v="Delhivery"/>
    <s v="DLV2607000130"/>
    <d v="2026-07-14T00:00:00"/>
    <x v="2"/>
    <d v="2026-07-14T00:00:00"/>
    <m/>
    <m/>
    <s v="No movement after initial hub scan"/>
    <n v="14"/>
    <s v="Track with courier"/>
  </r>
  <r>
    <s v="WWF2607027"/>
    <d v="2026-07-13T00:00:00"/>
    <s v="WOMN Fertility Support"/>
    <s v="WWF-FER-60"/>
    <n v="1"/>
    <n v="1499"/>
    <n v="150"/>
    <n v="0"/>
    <n v="1349"/>
    <x v="0"/>
    <s v="Mumbai"/>
    <s v="Maharashtra"/>
    <s v="Xpressbees"/>
    <s v="XB2607000136"/>
    <d v="2026-07-14T00:00:00"/>
    <x v="2"/>
    <d v="2026-07-16T00:00:00"/>
    <m/>
    <m/>
    <m/>
    <n v="14"/>
    <s v="Track with courier"/>
  </r>
  <r>
    <s v="WWF2607026"/>
    <d v="2026-07-13T00:00:00"/>
    <s v="WOMN Thyroid Support"/>
    <s v="WWF-THY-60"/>
    <n v="1"/>
    <n v="999"/>
    <n v="200"/>
    <n v="49"/>
    <n v="848"/>
    <x v="1"/>
    <s v="Ghaziabad"/>
    <s v="Uttar Pradesh"/>
    <s v="Ecom Express"/>
    <s v="ECM2607000147"/>
    <d v="2026-07-14T00:00:00"/>
    <x v="5"/>
    <d v="2026-07-21T00:00:00"/>
    <m/>
    <d v="2026-07-21T12:00:00"/>
    <s v="Customer refused delivery"/>
    <n v="8"/>
    <s v="Monitor"/>
  </r>
  <r>
    <s v="WWF2607025"/>
    <d v="2026-07-11T00:00:00"/>
    <s v="WOMN Thyroid Support"/>
    <s v="WWF-THY-60"/>
    <n v="2"/>
    <n v="999"/>
    <n v="200"/>
    <n v="0"/>
    <n v="1798"/>
    <x v="1"/>
    <s v="Chandigarh"/>
    <s v="Chandigarh"/>
    <s v="Xpressbees"/>
    <s v="XB2607000106"/>
    <d v="2026-07-13T00:00:00"/>
    <x v="4"/>
    <d v="2026-07-15T00:00:00"/>
    <d v="2026-07-15T12:00:00"/>
    <m/>
    <m/>
    <n v="4"/>
    <s v="No action needed"/>
  </r>
  <r>
    <s v="WWF2607024"/>
    <d v="2026-07-11T00:00:00"/>
    <s v="WOMN PCOS Support"/>
    <s v="WWF-PCOS-60"/>
    <n v="1"/>
    <n v="999"/>
    <n v="0"/>
    <n v="0"/>
    <n v="999"/>
    <x v="0"/>
    <s v="Bhopal"/>
    <s v="Madhya Pradesh"/>
    <s v="Ecom Express"/>
    <s v="ECM2607000108"/>
    <d v="2026-07-12T00:00:00"/>
    <x v="4"/>
    <d v="2026-07-17T00:00:00"/>
    <m/>
    <m/>
    <s v="Delivery confirmed by courier but delivery date not synced"/>
    <s v="Not synced"/>
    <s v="Sync delivery date - Delivery confirmed by courier but delivery date not synced"/>
  </r>
  <r>
    <s v="WWF2607023"/>
    <d v="2026-07-11T00:00:00"/>
    <s v="WOMN PCOS Support"/>
    <s v="WWF-PCOS-60"/>
    <n v="1"/>
    <n v="999"/>
    <n v="0"/>
    <n v="49"/>
    <n v="1048"/>
    <x v="1"/>
    <s v="Dehradun"/>
    <s v="Uttarakhand"/>
    <s v="Ecom Express"/>
    <s v="ECM2607000124"/>
    <d v="2026-07-12T00:00:00"/>
    <x v="4"/>
    <d v="2026-07-13T00:00:00"/>
    <d v="2026-07-13T12:00:00"/>
    <m/>
    <m/>
    <n v="2"/>
    <s v="No action needed"/>
  </r>
  <r>
    <s v="WWF2607022"/>
    <d v="2026-07-10T00:00:00"/>
    <s v="WOMN Thyroid Support"/>
    <s v="WWF-THY-60"/>
    <n v="2"/>
    <n v="999"/>
    <n v="200"/>
    <n v="0"/>
    <n v="1798"/>
    <x v="0"/>
    <s v="Gurugram"/>
    <s v="Haryana"/>
    <s v="Ecom Express"/>
    <s v="ECM2607000110"/>
    <d v="2026-07-11T00:00:00"/>
    <x v="4"/>
    <d v="2026-07-12T00:00:00"/>
    <d v="2026-07-12T12:00:00"/>
    <m/>
    <m/>
    <n v="2"/>
    <s v="No action needed"/>
  </r>
  <r>
    <s v="WWF2607021"/>
    <d v="2026-07-10T00:00:00"/>
    <s v="WOMN Fertility Support"/>
    <s v="WWF-FER-60"/>
    <n v="1"/>
    <n v="1499"/>
    <n v="200"/>
    <n v="49"/>
    <n v="1348"/>
    <x v="1"/>
    <s v="Jaipur"/>
    <s v="Rajasthan"/>
    <s v="Blue Dart"/>
    <s v="BD2607000152"/>
    <d v="2026-07-11T00:00:00"/>
    <x v="5"/>
    <d v="2026-07-20T00:00:00"/>
    <d v="2026-07-14T12:00:00"/>
    <d v="2026-07-20T12:00:00"/>
    <s v="Seal issue reported"/>
    <n v="10"/>
    <s v="Monitor"/>
  </r>
  <r>
    <s v="WWF2607020"/>
    <d v="2026-07-09T00:00:00"/>
    <s v="WOMN Fertility Support"/>
    <s v="WWF-FER-60"/>
    <n v="1"/>
    <n v="1499"/>
    <n v="150"/>
    <n v="0"/>
    <n v="1349"/>
    <x v="0"/>
    <s v="Indore"/>
    <s v="Madhya Pradesh"/>
    <s v="Delhivery"/>
    <s v="DLV2607000109"/>
    <d v="2026-07-11T00:00:00"/>
    <x v="4"/>
    <d v="2026-07-16T00:00:00"/>
    <d v="2026-07-16T12:00:00"/>
    <m/>
    <m/>
    <n v="7"/>
    <s v="No action needed"/>
  </r>
  <r>
    <s v="WWF2607019"/>
    <d v="2026-07-09T00:00:00"/>
    <s v="WOMN PCOS Support"/>
    <s v="WWF-PCOS-60"/>
    <n v="2"/>
    <n v="999"/>
    <n v="150"/>
    <n v="0"/>
    <n v="1848"/>
    <x v="1"/>
    <s v="Faridabad"/>
    <s v="Haryana"/>
    <s v="Blue Dart"/>
    <s v="BD2607000148"/>
    <d v="2026-07-10T00:00:00"/>
    <x v="5"/>
    <d v="2026-07-17T00:00:00"/>
    <m/>
    <d v="2026-07-17T12:00:00"/>
    <s v="Delivery attempted three times"/>
    <n v="8"/>
    <s v="Monitor"/>
  </r>
  <r>
    <s v="WWF2607018"/>
    <d v="2026-07-09T00:00:00"/>
    <s v="WOMN Menopause Support"/>
    <s v="WWF-MENO-60"/>
    <n v="1"/>
    <n v="1199"/>
    <n v="0"/>
    <n v="49"/>
    <n v="1248"/>
    <x v="1"/>
    <s v="Jaipur"/>
    <s v="Rajasthan"/>
    <s v="Ecom Express"/>
    <s v="ECM2607000150"/>
    <d v="2026-07-10T00:00:00"/>
    <x v="5"/>
    <d v="2026-07-19T00:00:00"/>
    <m/>
    <m/>
    <s v="RTO confirmed but return date not synced"/>
    <s v="Not synced"/>
    <s v="Sync return date - RTO confirmed but return date not synced"/>
  </r>
  <r>
    <s v="WWF2607017"/>
    <d v="2026-07-07T00:00:00"/>
    <s v="WOMN Menopause Support"/>
    <s v="WWF-MENO-60"/>
    <n v="1"/>
    <n v="1199"/>
    <n v="0"/>
    <n v="49"/>
    <n v="1248"/>
    <x v="1"/>
    <s v="Bengaluru"/>
    <s v="Karnataka"/>
    <s v="Ecom Express"/>
    <m/>
    <m/>
    <x v="1"/>
    <m/>
    <m/>
    <m/>
    <s v="Payment verification failed"/>
    <n v="20"/>
    <s v="No action needed"/>
  </r>
  <r>
    <s v="WWF2607016"/>
    <d v="2026-07-07T00:00:00"/>
    <s v="WOMN Menopause Support"/>
    <s v="WWF-MENO-60"/>
    <n v="1"/>
    <n v="1199"/>
    <n v="200"/>
    <n v="0"/>
    <n v="999"/>
    <x v="0"/>
    <s v="Chandigarh"/>
    <s v="Chandigarh"/>
    <s v="Ecom Express"/>
    <s v="ECM2607000126"/>
    <d v="2026-07-08T00:00:00"/>
    <x v="4"/>
    <d v="2026-07-10T00:00:00"/>
    <d v="2026-07-10T12:00:00"/>
    <m/>
    <m/>
    <n v="3"/>
    <s v="No action needed"/>
  </r>
  <r>
    <s v="WWF2607015"/>
    <d v="2026-07-07T00:00:00"/>
    <s v="WOMN PCOS Support"/>
    <s v="WWF-PCOS-60"/>
    <n v="1"/>
    <n v="999"/>
    <n v="0"/>
    <n v="0"/>
    <n v="999"/>
    <x v="0"/>
    <s v="New Delhi"/>
    <s v="Delhi"/>
    <s v="Delhivery"/>
    <s v="DLV2607000127"/>
    <d v="2026-07-08T00:00:00"/>
    <x v="4"/>
    <d v="2026-07-09T00:00:00"/>
    <d v="2026-07-09T12:00:00"/>
    <m/>
    <m/>
    <n v="2"/>
    <s v="No action needed"/>
  </r>
  <r>
    <s v="WWF2607014"/>
    <d v="2026-07-07T00:00:00"/>
    <s v="WOMN Prenatal Support"/>
    <s v="WWF-PRE-60"/>
    <n v="1"/>
    <n v="1299"/>
    <n v="0"/>
    <n v="49"/>
    <n v="1348"/>
    <x v="1"/>
    <s v="Noida"/>
    <s v="Uttar Pradesh"/>
    <s v="Xpressbees"/>
    <s v="XB2607000128"/>
    <d v="2026-07-08T00:00:00"/>
    <x v="4"/>
    <d v="2026-07-11T00:00:00"/>
    <d v="2026-07-11T12:00:00"/>
    <m/>
    <m/>
    <n v="4"/>
    <s v="No action needed"/>
  </r>
  <r>
    <s v="WWF2607013"/>
    <d v="2026-07-06T00:00:00"/>
    <s v="WOMN Thyroid Support"/>
    <s v="WWF-THY-60"/>
    <n v="1"/>
    <n v="999"/>
    <n v="0"/>
    <n v="0"/>
    <n v="999"/>
    <x v="0"/>
    <s v="Patna"/>
    <s v="Bihar"/>
    <s v="Ecom Express"/>
    <s v="ECM2607000111"/>
    <d v="2026-07-08T00:00:00"/>
    <x v="4"/>
    <d v="2026-07-10T00:00:00"/>
    <d v="2026-07-10T12:00:00"/>
    <m/>
    <m/>
    <n v="4"/>
    <s v="No action needed"/>
  </r>
  <r>
    <s v="WWF2607012"/>
    <d v="2026-07-06T00:00:00"/>
    <s v="WOMN Fertility Support"/>
    <s v="WWF-FER-60"/>
    <n v="1"/>
    <n v="1499"/>
    <n v="200"/>
    <n v="0"/>
    <n v="1299"/>
    <x v="0"/>
    <s v="Ghaziabad"/>
    <s v="Uttar Pradesh"/>
    <s v="Delhivery"/>
    <s v="DLV2607000123"/>
    <d v="2026-07-07T00:00:00"/>
    <x v="4"/>
    <d v="2026-07-11T00:00:00"/>
    <d v="2026-07-11T12:00:00"/>
    <m/>
    <m/>
    <n v="5"/>
    <s v="No action needed"/>
  </r>
  <r>
    <s v="WWF2607011"/>
    <d v="2026-07-06T00:00:00"/>
    <s v="WOMN Fertility Support"/>
    <s v="WWF-FER-60"/>
    <n v="1"/>
    <n v="1499"/>
    <n v="0"/>
    <n v="0"/>
    <n v="1499"/>
    <x v="0"/>
    <s v="Chandigarh"/>
    <s v="Chandigarh"/>
    <s v="Blue Dart"/>
    <s v="BD2607000156"/>
    <d v="2026-07-07T00:00:00"/>
    <x v="5"/>
    <d v="2026-07-16T00:00:00"/>
    <d v="2026-07-10T12:00:00"/>
    <d v="2026-07-16T12:00:00"/>
    <s v="Seal issue reported"/>
    <n v="10"/>
    <s v="Monitor"/>
  </r>
  <r>
    <s v="WWF2607010"/>
    <d v="2026-07-05T00:00:00"/>
    <s v="WOMN Fertility Support"/>
    <s v="WWF-FER-60"/>
    <n v="2"/>
    <n v="1499"/>
    <n v="0"/>
    <n v="0"/>
    <n v="2998"/>
    <x v="0"/>
    <s v="Ahmedabad"/>
    <s v="Gujarat"/>
    <s v="Delhivery"/>
    <s v="DLV2607000104"/>
    <d v="2026-07-07T00:00:00"/>
    <x v="4"/>
    <d v="2026-07-09T00:00:00"/>
    <d v="2026-07-09T12:00:00"/>
    <m/>
    <m/>
    <n v="4"/>
    <s v="No action needed"/>
  </r>
  <r>
    <s v="WWF2607009"/>
    <d v="2026-07-05T00:00:00"/>
    <s v="WOMN Thyroid Support"/>
    <s v="WWF-THY-60"/>
    <n v="1"/>
    <n v="999"/>
    <n v="150"/>
    <n v="0"/>
    <n v="849"/>
    <x v="0"/>
    <s v="Lucknow"/>
    <s v="Uttar Pradesh"/>
    <s v="Delhivery"/>
    <s v="DLV2607000115"/>
    <d v="2026-07-07T00:00:00"/>
    <x v="4"/>
    <d v="2026-07-11T00:00:00"/>
    <d v="2026-07-11T12:00:00"/>
    <m/>
    <m/>
    <n v="6"/>
    <s v="No action needed"/>
  </r>
  <r>
    <s v="WWF2607008"/>
    <d v="2026-07-05T00:00:00"/>
    <s v="WOMN PCOS Support"/>
    <s v="WWF-PCOS-60"/>
    <n v="1"/>
    <n v="999"/>
    <n v="0"/>
    <n v="0"/>
    <n v="999"/>
    <x v="0"/>
    <s v="Noida"/>
    <s v="Uttar Pradesh"/>
    <s v="Xpressbees"/>
    <s v="XB2607000153"/>
    <d v="2026-07-06T00:00:00"/>
    <x v="5"/>
    <d v="2026-07-14T00:00:00"/>
    <d v="2026-07-10T12:00:00"/>
    <d v="2026-07-14T12:00:00"/>
    <s v="Outer packaging damaged"/>
    <n v="9"/>
    <s v="Monitor"/>
  </r>
  <r>
    <s v="WWF2607007"/>
    <d v="2026-07-05T00:00:00"/>
    <s v="WOMN Perimenopause Support"/>
    <s v="WWF-PERI-60"/>
    <n v="1"/>
    <n v="1299"/>
    <n v="150"/>
    <n v="0"/>
    <n v="1149"/>
    <x v="0"/>
    <s v="Lucknow"/>
    <s v="Uttar Pradesh"/>
    <s v="Blue Dart"/>
    <s v="BD2607000145"/>
    <d v="2026-07-06T00:00:00"/>
    <x v="5"/>
    <d v="2026-07-15T00:00:00"/>
    <m/>
    <d v="2026-07-15T12:00:00"/>
    <s v="Incomplete address"/>
    <n v="10"/>
    <s v="Monitor"/>
  </r>
  <r>
    <s v="WWF2607006"/>
    <d v="2026-07-03T00:00:00"/>
    <s v="WOMN Prenatal Support"/>
    <s v="WWF-PRE-60"/>
    <n v="1"/>
    <n v="1299"/>
    <n v="0"/>
    <n v="0"/>
    <n v="1299"/>
    <x v="0"/>
    <s v="Chandigarh"/>
    <s v="Chandigarh"/>
    <s v="Blue Dart"/>
    <s v="BD2607000107"/>
    <d v="2026-07-04T00:00:00"/>
    <x v="4"/>
    <d v="2026-07-06T00:00:00"/>
    <d v="2026-07-06T12:00:00"/>
    <m/>
    <m/>
    <n v="3"/>
    <s v="No action needed"/>
  </r>
  <r>
    <s v="WWF2607005"/>
    <d v="2026-07-03T00:00:00"/>
    <s v="WOMN Perimenopause Support"/>
    <s v="WWF-PERI-60"/>
    <n v="1"/>
    <n v="1299"/>
    <n v="0"/>
    <n v="49"/>
    <n v="1348"/>
    <x v="1"/>
    <s v="New Delhi"/>
    <s v="Delhi"/>
    <s v="Delhivery"/>
    <s v="DLV2607000154"/>
    <d v="2026-07-04T00:00:00"/>
    <x v="5"/>
    <d v="2026-07-11T00:00:00"/>
    <d v="2026-07-06T12:00:00"/>
    <d v="2026-07-11T12:00:00"/>
    <s v="Wrong item reported"/>
    <n v="8"/>
    <s v="Monitor"/>
  </r>
  <r>
    <s v="WWF2607004"/>
    <d v="2026-07-02T00:00:00"/>
    <s v="WOMN PCOS Support"/>
    <s v="WWF-PCOS-60"/>
    <n v="1"/>
    <n v="999"/>
    <n v="0"/>
    <n v="0"/>
    <n v="999"/>
    <x v="0"/>
    <s v="Hyderabad"/>
    <s v="Telangana"/>
    <s v="Ecom Express"/>
    <s v="ECM2607000120"/>
    <d v="2026-07-03T00:00:00"/>
    <x v="4"/>
    <d v="2026-07-08T00:00:00"/>
    <d v="2026-07-08T12:00:00"/>
    <m/>
    <s v="Delivered after customer follow-up"/>
    <n v="6"/>
    <s v="No action needed"/>
  </r>
  <r>
    <s v="WWF2607003"/>
    <d v="2026-07-02T00:00:00"/>
    <s v="WOMN Thyroid Support"/>
    <s v="WWF-THY-60"/>
    <n v="1"/>
    <n v="999"/>
    <n v="0"/>
    <n v="0"/>
    <n v="999"/>
    <x v="0"/>
    <s v="Patna"/>
    <s v="Bihar"/>
    <s v="Ecom Express"/>
    <s v="ECM2607000155"/>
    <d v="2026-07-03T00:00:00"/>
    <x v="5"/>
    <d v="2026-07-10T00:00:00"/>
    <d v="2026-07-07T12:00:00"/>
    <d v="2026-07-10T12:00:00"/>
    <s v="Customer changed mind"/>
    <n v="8"/>
    <s v="Monitor"/>
  </r>
  <r>
    <s v="WWF2607002"/>
    <d v="2026-07-01T00:00:00"/>
    <s v="WOMN Prenatal Support"/>
    <s v="WWF-PRE-60"/>
    <n v="1"/>
    <n v="1299"/>
    <n v="0"/>
    <n v="0"/>
    <n v="1299"/>
    <x v="0"/>
    <s v="Gurugram"/>
    <s v="Haryana"/>
    <s v="Blue Dart"/>
    <s v="BD2607000105"/>
    <d v="2026-07-02T00:00:00"/>
    <x v="4"/>
    <d v="2026-07-07T00:00:00"/>
    <d v="2026-07-07T12:00:00"/>
    <m/>
    <m/>
    <n v="6"/>
    <s v="No action needed"/>
  </r>
  <r>
    <s v="WWF2607001"/>
    <d v="2026-07-01T00:00:00"/>
    <s v="WOMN Fertility Support"/>
    <s v="WWF-FER-60"/>
    <n v="2"/>
    <n v="1499"/>
    <n v="200"/>
    <n v="0"/>
    <n v="2798"/>
    <x v="1"/>
    <s v="Gurugram"/>
    <s v="Haryana"/>
    <s v="Blue Dart"/>
    <s v="BD2607000146"/>
    <d v="2026-07-02T00:00:00"/>
    <x v="5"/>
    <d v="2026-07-07T00:00:00"/>
    <m/>
    <d v="2026-07-07T12:00:00"/>
    <s v="Customer refused delivery"/>
    <n v="6"/>
    <s v="Monit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ACC743-3C44-456F-A0D0-E5C6865E826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11:C118" firstHeaderRow="0" firstDataRow="1" firstDataCol="1"/>
  <pivotFields count="22">
    <pivotField dataField="1"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8">
        <item x="1"/>
        <item x="4"/>
        <item x="2"/>
        <item x="3"/>
        <item x="0"/>
        <item m="1" x="6"/>
        <item x="5"/>
        <item t="default"/>
      </items>
    </pivotField>
    <pivotField showAll="0"/>
    <pivotField showAll="0"/>
    <pivotField showAll="0"/>
    <pivotField showAll="0"/>
    <pivotField showAll="0"/>
    <pivotField showAll="0"/>
  </pivotFields>
  <rowFields count="1">
    <field x="15"/>
  </rowFields>
  <rowItems count="7">
    <i>
      <x/>
    </i>
    <i>
      <x v="1"/>
    </i>
    <i>
      <x v="2"/>
    </i>
    <i>
      <x v="3"/>
    </i>
    <i>
      <x v="4"/>
    </i>
    <i>
      <x v="6"/>
    </i>
    <i t="grand">
      <x/>
    </i>
  </rowItems>
  <colFields count="1">
    <field x="-2"/>
  </colFields>
  <colItems count="2">
    <i>
      <x/>
    </i>
    <i i="1">
      <x v="1"/>
    </i>
  </colItems>
  <dataFields count="2">
    <dataField name="Sum of Order Value" fld="8" baseField="0" baseItem="0"/>
    <dataField name="Count of Order ID" fld="0" subtotal="count" baseField="0" baseItem="0"/>
  </dataFields>
  <chartFormats count="34">
    <chartFormat chart="0" format="85" series="1">
      <pivotArea type="data" outline="0" fieldPosition="0">
        <references count="1">
          <reference field="15" count="1" selected="0">
            <x v="1"/>
          </reference>
        </references>
      </pivotArea>
    </chartFormat>
    <chartFormat chart="0" format="86" series="1">
      <pivotArea type="data" outline="0" fieldPosition="0">
        <references count="1">
          <reference field="15" count="1" selected="0">
            <x v="2"/>
          </reference>
        </references>
      </pivotArea>
    </chartFormat>
    <chartFormat chart="0" format="87" series="1">
      <pivotArea type="data" outline="0" fieldPosition="0">
        <references count="1">
          <reference field="15" count="1" selected="0">
            <x v="3"/>
          </reference>
        </references>
      </pivotArea>
    </chartFormat>
    <chartFormat chart="0" format="88" series="1">
      <pivotArea type="data" outline="0" fieldPosition="0">
        <references count="1">
          <reference field="15" count="1" selected="0">
            <x v="4"/>
          </reference>
        </references>
      </pivotArea>
    </chartFormat>
    <chartFormat chart="0" format="89" series="1">
      <pivotArea type="data" outline="0" fieldPosition="0">
        <references count="1">
          <reference field="15" count="1" selected="0">
            <x v="5"/>
          </reference>
        </references>
      </pivotArea>
    </chartFormat>
    <chartFormat chart="0" format="90" series="1">
      <pivotArea type="data" outline="0" fieldPosition="0">
        <references count="1">
          <reference field="15" count="1" selected="0">
            <x v="6"/>
          </reference>
        </references>
      </pivotArea>
    </chartFormat>
    <chartFormat chart="0" format="91" series="1">
      <pivotArea type="data" outline="0" fieldPosition="0"/>
    </chartFormat>
    <chartFormat chart="0" format="92" series="1">
      <pivotArea type="data" outline="0" fieldPosition="0">
        <references count="1">
          <reference field="4294967294" count="1" selected="0">
            <x v="0"/>
          </reference>
        </references>
      </pivotArea>
    </chartFormat>
    <chartFormat chart="0" format="93" series="1">
      <pivotArea type="data" outline="0" fieldPosition="0">
        <references count="2">
          <reference field="4294967294" count="1" selected="0">
            <x v="0"/>
          </reference>
          <reference field="15" count="1" selected="0">
            <x v="1"/>
          </reference>
        </references>
      </pivotArea>
    </chartFormat>
    <chartFormat chart="0" format="94" series="1">
      <pivotArea type="data" outline="0" fieldPosition="0">
        <references count="2">
          <reference field="4294967294" count="1" selected="0">
            <x v="0"/>
          </reference>
          <reference field="15" count="1" selected="0">
            <x v="2"/>
          </reference>
        </references>
      </pivotArea>
    </chartFormat>
    <chartFormat chart="0" format="95" series="1">
      <pivotArea type="data" outline="0" fieldPosition="0">
        <references count="2">
          <reference field="4294967294" count="1" selected="0">
            <x v="0"/>
          </reference>
          <reference field="15" count="1" selected="0">
            <x v="3"/>
          </reference>
        </references>
      </pivotArea>
    </chartFormat>
    <chartFormat chart="0" format="96" series="1">
      <pivotArea type="data" outline="0" fieldPosition="0">
        <references count="2">
          <reference field="4294967294" count="1" selected="0">
            <x v="0"/>
          </reference>
          <reference field="15" count="1" selected="0">
            <x v="4"/>
          </reference>
        </references>
      </pivotArea>
    </chartFormat>
    <chartFormat chart="0" format="97" series="1">
      <pivotArea type="data" outline="0" fieldPosition="0">
        <references count="2">
          <reference field="4294967294" count="1" selected="0">
            <x v="0"/>
          </reference>
          <reference field="15" count="1" selected="0">
            <x v="5"/>
          </reference>
        </references>
      </pivotArea>
    </chartFormat>
    <chartFormat chart="0" format="98" series="1">
      <pivotArea type="data" outline="0" fieldPosition="0">
        <references count="2">
          <reference field="4294967294" count="1" selected="0">
            <x v="0"/>
          </reference>
          <reference field="15" count="1" selected="0">
            <x v="6"/>
          </reference>
        </references>
      </pivotArea>
    </chartFormat>
    <chartFormat chart="0" format="99" series="1">
      <pivotArea type="data" outline="0" fieldPosition="0">
        <references count="2">
          <reference field="4294967294" count="1" selected="0">
            <x v="1"/>
          </reference>
          <reference field="15" count="1" selected="0">
            <x v="3"/>
          </reference>
        </references>
      </pivotArea>
    </chartFormat>
    <chartFormat chart="0" format="100" series="1">
      <pivotArea type="data" outline="0" fieldPosition="0">
        <references count="2">
          <reference field="4294967294" count="1" selected="0">
            <x v="1"/>
          </reference>
          <reference field="15" count="1" selected="0">
            <x v="4"/>
          </reference>
        </references>
      </pivotArea>
    </chartFormat>
    <chartFormat chart="0" format="101" series="1">
      <pivotArea type="data" outline="0" fieldPosition="0">
        <references count="2">
          <reference field="4294967294" count="1" selected="0">
            <x v="1"/>
          </reference>
          <reference field="15" count="1" selected="0">
            <x v="5"/>
          </reference>
        </references>
      </pivotArea>
    </chartFormat>
    <chartFormat chart="0" format="102" series="1">
      <pivotArea type="data" outline="0" fieldPosition="0">
        <references count="2">
          <reference field="4294967294" count="1" selected="0">
            <x v="1"/>
          </reference>
          <reference field="15" count="1" selected="0">
            <x v="6"/>
          </reference>
        </references>
      </pivotArea>
    </chartFormat>
    <chartFormat chart="0" format="103" series="1">
      <pivotArea type="data" outline="0" fieldPosition="0">
        <references count="2">
          <reference field="4294967294" count="1" selected="0">
            <x v="1"/>
          </reference>
          <reference field="15" count="1" selected="0">
            <x v="0"/>
          </reference>
        </references>
      </pivotArea>
    </chartFormat>
    <chartFormat chart="0" format="104" series="1">
      <pivotArea type="data" outline="0" fieldPosition="0">
        <references count="1">
          <reference field="4294967294" count="1" selected="0">
            <x v="1"/>
          </reference>
        </references>
      </pivotArea>
    </chartFormat>
    <chartFormat chart="0" format="105">
      <pivotArea type="data" outline="0" fieldPosition="0">
        <references count="2">
          <reference field="4294967294" count="1" selected="0">
            <x v="0"/>
          </reference>
          <reference field="15" count="1" selected="0">
            <x v="0"/>
          </reference>
        </references>
      </pivotArea>
    </chartFormat>
    <chartFormat chart="0" format="106">
      <pivotArea type="data" outline="0" fieldPosition="0">
        <references count="2">
          <reference field="4294967294" count="1" selected="0">
            <x v="0"/>
          </reference>
          <reference field="15" count="1" selected="0">
            <x v="1"/>
          </reference>
        </references>
      </pivotArea>
    </chartFormat>
    <chartFormat chart="0" format="107">
      <pivotArea type="data" outline="0" fieldPosition="0">
        <references count="2">
          <reference field="4294967294" count="1" selected="0">
            <x v="0"/>
          </reference>
          <reference field="15" count="1" selected="0">
            <x v="2"/>
          </reference>
        </references>
      </pivotArea>
    </chartFormat>
    <chartFormat chart="0" format="108">
      <pivotArea type="data" outline="0" fieldPosition="0">
        <references count="2">
          <reference field="4294967294" count="1" selected="0">
            <x v="0"/>
          </reference>
          <reference field="15" count="1" selected="0">
            <x v="3"/>
          </reference>
        </references>
      </pivotArea>
    </chartFormat>
    <chartFormat chart="0" format="109">
      <pivotArea type="data" outline="0" fieldPosition="0">
        <references count="2">
          <reference field="4294967294" count="1" selected="0">
            <x v="0"/>
          </reference>
          <reference field="15" count="1" selected="0">
            <x v="4"/>
          </reference>
        </references>
      </pivotArea>
    </chartFormat>
    <chartFormat chart="0" format="110">
      <pivotArea type="data" outline="0" fieldPosition="0">
        <references count="2">
          <reference field="4294967294" count="1" selected="0">
            <x v="0"/>
          </reference>
          <reference field="15" count="1" selected="0">
            <x v="5"/>
          </reference>
        </references>
      </pivotArea>
    </chartFormat>
    <chartFormat chart="0" format="111">
      <pivotArea type="data" outline="0" fieldPosition="0">
        <references count="2">
          <reference field="4294967294" count="1" selected="0">
            <x v="0"/>
          </reference>
          <reference field="15" count="1" selected="0">
            <x v="6"/>
          </reference>
        </references>
      </pivotArea>
    </chartFormat>
    <chartFormat chart="0" format="112">
      <pivotArea type="data" outline="0" fieldPosition="0">
        <references count="2">
          <reference field="4294967294" count="1" selected="0">
            <x v="1"/>
          </reference>
          <reference field="15" count="1" selected="0">
            <x v="0"/>
          </reference>
        </references>
      </pivotArea>
    </chartFormat>
    <chartFormat chart="0" format="113">
      <pivotArea type="data" outline="0" fieldPosition="0">
        <references count="2">
          <reference field="4294967294" count="1" selected="0">
            <x v="1"/>
          </reference>
          <reference field="15" count="1" selected="0">
            <x v="1"/>
          </reference>
        </references>
      </pivotArea>
    </chartFormat>
    <chartFormat chart="0" format="114">
      <pivotArea type="data" outline="0" fieldPosition="0">
        <references count="2">
          <reference field="4294967294" count="1" selected="0">
            <x v="1"/>
          </reference>
          <reference field="15" count="1" selected="0">
            <x v="2"/>
          </reference>
        </references>
      </pivotArea>
    </chartFormat>
    <chartFormat chart="0" format="115">
      <pivotArea type="data" outline="0" fieldPosition="0">
        <references count="2">
          <reference field="4294967294" count="1" selected="0">
            <x v="1"/>
          </reference>
          <reference field="15" count="1" selected="0">
            <x v="3"/>
          </reference>
        </references>
      </pivotArea>
    </chartFormat>
    <chartFormat chart="0" format="116">
      <pivotArea type="data" outline="0" fieldPosition="0">
        <references count="2">
          <reference field="4294967294" count="1" selected="0">
            <x v="1"/>
          </reference>
          <reference field="15" count="1" selected="0">
            <x v="4"/>
          </reference>
        </references>
      </pivotArea>
    </chartFormat>
    <chartFormat chart="0" format="117">
      <pivotArea type="data" outline="0" fieldPosition="0">
        <references count="2">
          <reference field="4294967294" count="1" selected="0">
            <x v="1"/>
          </reference>
          <reference field="15" count="1" selected="0">
            <x v="5"/>
          </reference>
        </references>
      </pivotArea>
    </chartFormat>
    <chartFormat chart="0" format="118">
      <pivotArea type="data" outline="0" fieldPosition="0">
        <references count="2">
          <reference field="4294967294" count="1" selected="0">
            <x v="1"/>
          </reference>
          <reference field="15"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343DE5-73CF-4A37-BE7C-883DDAE807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2:C135" firstHeaderRow="0" firstDataRow="1" firstDataCol="1"/>
  <pivotFields count="22">
    <pivotField dataField="1" showAll="0"/>
    <pivotField numFmtId="14" showAll="0"/>
    <pivotField showAll="0"/>
    <pivotField showAll="0"/>
    <pivotField showAll="0"/>
    <pivotField showAll="0"/>
    <pivotField showAll="0"/>
    <pivotField showAll="0"/>
    <pivotField dataField="1" showAll="0"/>
    <pivotField axis="axisRow" showAll="0">
      <items count="4">
        <item m="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1"/>
    </i>
    <i>
      <x v="2"/>
    </i>
    <i t="grand">
      <x/>
    </i>
  </rowItems>
  <colFields count="1">
    <field x="-2"/>
  </colFields>
  <colItems count="2">
    <i>
      <x/>
    </i>
    <i i="1">
      <x v="1"/>
    </i>
  </colItems>
  <dataFields count="2">
    <dataField name="Count of Order ID" fld="0" subtotal="count" baseField="0" baseItem="0"/>
    <dataField name="Sum of Order Value"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1"/>
          </reference>
          <reference field="9" count="1" selected="0">
            <x v="1"/>
          </reference>
        </references>
      </pivotArea>
    </chartFormat>
    <chartFormat chart="0" format="5">
      <pivotArea type="data" outline="0" fieldPosition="0">
        <references count="2">
          <reference field="4294967294" count="1" selected="0">
            <x v="1"/>
          </reference>
          <reference field="9"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FC2F7A0-72B1-4CF0-A757-9704CFE96551}" autoFormatId="16" applyNumberFormats="0" applyBorderFormats="0" applyFontFormats="0" applyPatternFormats="0" applyAlignmentFormats="0" applyWidthHeightFormats="0">
  <queryTableRefresh nextId="24" unboundColumnsRight="2">
    <queryTableFields count="22">
      <queryTableField id="1" name="Order ID" tableColumnId="1"/>
      <queryTableField id="2" name="Order Date.1" tableColumnId="2"/>
      <queryTableField id="3" name="Product" tableColumnId="3"/>
      <queryTableField id="4" name="SKU" tableColumnId="4"/>
      <queryTableField id="5" name="Quantity" tableColumnId="5"/>
      <queryTableField id="6" name="Unit Price" tableColumnId="6"/>
      <queryTableField id="7" name="Discount" tableColumnId="7"/>
      <queryTableField id="8" name="Shipping Charge" tableColumnId="8"/>
      <queryTableField id="9" name="Order Value" tableColumnId="9"/>
      <queryTableField id="10" name="Payment Method" tableColumnId="10"/>
      <queryTableField id="11" name="City" tableColumnId="11"/>
      <queryTableField id="12" name="State" tableColumnId="12"/>
      <queryTableField id="13" name="Courier" tableColumnId="13"/>
      <queryTableField id="14" name="AWB" tableColumnId="14"/>
      <queryTableField id="15" name="Dispatch Date.1" tableColumnId="15"/>
      <queryTableField id="16" name="Current Status" tableColumnId="16"/>
      <queryTableField id="17" name="Last Tracking Update.1" tableColumnId="17"/>
      <queryTableField id="18" name="Delivery Date" tableColumnId="18"/>
      <queryTableField id="19" name="Return/RTO Date" tableColumnId="19"/>
      <queryTableField id="20" name="Issue Note" tableColumnId="20"/>
      <queryTableField id="22" dataBound="0" tableColumnId="22"/>
      <queryTableField id="23" dataBound="0" tableColumnId="2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T73">
  <tableColumns count="20">
    <tableColumn id="1" xr3:uid="{00000000-0010-0000-0000-000001000000}" name="Order ID"/>
    <tableColumn id="2" xr3:uid="{00000000-0010-0000-0000-000002000000}" name="Order Date"/>
    <tableColumn id="3" xr3:uid="{00000000-0010-0000-0000-000003000000}" name="Product"/>
    <tableColumn id="4" xr3:uid="{00000000-0010-0000-0000-000004000000}" name="SKU"/>
    <tableColumn id="5" xr3:uid="{00000000-0010-0000-0000-000005000000}" name="Quantity"/>
    <tableColumn id="6" xr3:uid="{00000000-0010-0000-0000-000006000000}" name="Unit Price"/>
    <tableColumn id="7" xr3:uid="{00000000-0010-0000-0000-000007000000}" name="Discount"/>
    <tableColumn id="8" xr3:uid="{00000000-0010-0000-0000-000008000000}" name="Shipping Charge"/>
    <tableColumn id="9" xr3:uid="{00000000-0010-0000-0000-000009000000}" name="Order Value"/>
    <tableColumn id="10" xr3:uid="{00000000-0010-0000-0000-00000A000000}" name="Payment Method"/>
    <tableColumn id="11" xr3:uid="{00000000-0010-0000-0000-00000B000000}" name="City"/>
    <tableColumn id="12" xr3:uid="{00000000-0010-0000-0000-00000C000000}" name="State"/>
    <tableColumn id="13" xr3:uid="{00000000-0010-0000-0000-00000D000000}" name="Courier"/>
    <tableColumn id="14" xr3:uid="{00000000-0010-0000-0000-00000E000000}" name="AWB"/>
    <tableColumn id="15" xr3:uid="{00000000-0010-0000-0000-00000F000000}" name="Dispatch Date"/>
    <tableColumn id="16" xr3:uid="{00000000-0010-0000-0000-000010000000}" name="Current Status"/>
    <tableColumn id="17" xr3:uid="{00000000-0010-0000-0000-000011000000}" name="Last Tracking Update"/>
    <tableColumn id="18" xr3:uid="{00000000-0010-0000-0000-000012000000}" name="Delivery Date"/>
    <tableColumn id="19" xr3:uid="{00000000-0010-0000-0000-000013000000}" name="Return/RTO Date"/>
    <tableColumn id="20" xr3:uid="{00000000-0010-0000-0000-000014000000}" name="Issue Note"/>
  </tableColumns>
  <tableStyleInfo name="TableStyleLight3"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BBDA9E-E05B-45AE-A2DC-6027C2545A64}" name="Table_17" displayName="Table_17" ref="A1:V71" tableType="queryTable" totalsRowShown="0">
  <autoFilter ref="A1:V71" xr:uid="{20BBDA9E-E05B-45AE-A2DC-6027C2545A64}"/>
  <tableColumns count="22">
    <tableColumn id="1" xr3:uid="{2C458F04-17CD-4679-A67D-FD48D436EBA3}" uniqueName="1" name="Order ID" queryTableFieldId="1" dataDxfId="14"/>
    <tableColumn id="2" xr3:uid="{81286994-B28F-4AFD-8BE7-6A92B9206EE9}" uniqueName="2" name="Order Date.1" queryTableFieldId="2" dataDxfId="13"/>
    <tableColumn id="3" xr3:uid="{A7884B30-3F20-491E-9C26-4EA49B1D95DA}" uniqueName="3" name="Product" queryTableFieldId="3" dataDxfId="12"/>
    <tableColumn id="4" xr3:uid="{E047183E-7690-484F-B065-8C76627B6639}" uniqueName="4" name="SKU" queryTableFieldId="4" dataDxfId="11"/>
    <tableColumn id="5" xr3:uid="{D3CF11DC-2068-424D-94CC-2AE9D6DF010F}" uniqueName="5" name="Quantity" queryTableFieldId="5"/>
    <tableColumn id="6" xr3:uid="{D118F94A-A4D0-4E65-BCE1-57942D44BD52}" uniqueName="6" name="Unit Price" queryTableFieldId="6"/>
    <tableColumn id="7" xr3:uid="{17538C1A-1023-41D2-BF55-350EA61F1F7B}" uniqueName="7" name="Discount" queryTableFieldId="7"/>
    <tableColumn id="8" xr3:uid="{2323EC63-B36C-4646-BED6-764BEBB2B826}" uniqueName="8" name="Shipping Charge" queryTableFieldId="8"/>
    <tableColumn id="9" xr3:uid="{DF90ED6E-2487-46AA-A6AC-2A5F7A26C662}" uniqueName="9" name="Order Value" queryTableFieldId="9"/>
    <tableColumn id="10" xr3:uid="{67CD3BC7-50A3-4D60-8A48-B82AF23ABAE2}" uniqueName="10" name="Payment Method" queryTableFieldId="10" dataDxfId="10"/>
    <tableColumn id="11" xr3:uid="{FC65AB03-BB51-45E4-9D68-C501CE7A4831}" uniqueName="11" name="City" queryTableFieldId="11" dataDxfId="9"/>
    <tableColumn id="12" xr3:uid="{F7E8A5D5-31D9-4702-9C26-868F12C44706}" uniqueName="12" name="State" queryTableFieldId="12" dataDxfId="8"/>
    <tableColumn id="13" xr3:uid="{319C33DA-BB5A-486A-A628-18F28A8F2BD0}" uniqueName="13" name="Courier" queryTableFieldId="13" dataDxfId="7"/>
    <tableColumn id="14" xr3:uid="{60EFA260-68A1-4BEE-A692-D4BCB835F8C6}" uniqueName="14" name="AWB" queryTableFieldId="14" dataDxfId="6"/>
    <tableColumn id="15" xr3:uid="{6EB1E4DF-5CFD-4EAB-99A8-BFFBA2AF055C}" uniqueName="15" name="Dispatch Date.1" queryTableFieldId="15" dataDxfId="5"/>
    <tableColumn id="16" xr3:uid="{8E02DFEA-44B3-46B1-9D0B-EBE87C5B1C4F}" uniqueName="16" name="Current Status" queryTableFieldId="16" dataDxfId="4"/>
    <tableColumn id="17" xr3:uid="{F8A7E973-931A-4383-A45B-3A091269E848}" uniqueName="17" name="Last Tracking Update.1" queryTableFieldId="17" dataDxfId="3"/>
    <tableColumn id="18" xr3:uid="{3B51BD84-D77B-4B31-8ADD-B39A72AFBDB0}" uniqueName="18" name="Delivery Date" queryTableFieldId="18" dataDxfId="2"/>
    <tableColumn id="19" xr3:uid="{212B8227-83BF-44C8-A08D-0C277BA23686}" uniqueName="19" name="Return/RTO Date" queryTableFieldId="19" dataDxfId="1"/>
    <tableColumn id="20" xr3:uid="{B700D9A8-53D0-4921-B1A1-FA9F12FB8239}" uniqueName="20" name="Issue Note" queryTableFieldId="20" dataDxfId="0"/>
    <tableColumn id="22" xr3:uid="{DB0DCDB2-2DC7-45B4-9292-97E00BFB2643}" uniqueName="22" name="AGEING DAYS" queryTableFieldId="22">
      <calculatedColumnFormula>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calculatedColumnFormula>
    </tableColumn>
    <tableColumn id="23" xr3:uid="{56D04269-B3CF-4677-A58B-CC726D89A054}" uniqueName="23" name="ACTION REQUIRED" queryTableFieldId="23">
      <calculatedColumnFormula>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99"/>
  <sheetViews>
    <sheetView showGridLines="0" workbookViewId="0">
      <selection activeCell="D4" sqref="D4"/>
    </sheetView>
  </sheetViews>
  <sheetFormatPr defaultColWidth="12.59765625" defaultRowHeight="15" customHeight="1"/>
  <cols>
    <col min="1" max="1" width="15" customWidth="1"/>
    <col min="2" max="2" width="13" customWidth="1"/>
    <col min="3" max="3" width="28" customWidth="1"/>
    <col min="4" max="4" width="16" customWidth="1"/>
    <col min="5" max="5" width="10" customWidth="1"/>
    <col min="6" max="6" width="12" customWidth="1"/>
    <col min="7" max="7" width="11" customWidth="1"/>
    <col min="8" max="8" width="15" customWidth="1"/>
    <col min="9" max="9" width="13" customWidth="1"/>
    <col min="10" max="10" width="14" customWidth="1"/>
    <col min="11" max="11" width="16" customWidth="1"/>
    <col min="12" max="12" width="18" customWidth="1"/>
    <col min="13" max="13" width="15" customWidth="1"/>
    <col min="14" max="14" width="18" customWidth="1"/>
    <col min="15" max="15" width="14" customWidth="1"/>
    <col min="16" max="16" width="16" customWidth="1"/>
    <col min="17" max="17" width="19" customWidth="1"/>
    <col min="18" max="18" width="14" customWidth="1"/>
    <col min="19" max="19" width="16" customWidth="1"/>
    <col min="20" max="20" width="34" customWidth="1"/>
    <col min="21" max="26" width="8.59765625" customWidth="1"/>
  </cols>
  <sheetData>
    <row r="1" spans="1:20" ht="31.5" customHeight="1">
      <c r="A1" s="34" t="s">
        <v>0</v>
      </c>
      <c r="B1" s="35"/>
      <c r="C1" s="35"/>
      <c r="D1" s="35"/>
      <c r="E1" s="35"/>
      <c r="F1" s="35"/>
      <c r="G1" s="35"/>
      <c r="H1" s="35"/>
      <c r="I1" s="35"/>
      <c r="J1" s="35"/>
      <c r="K1" s="35"/>
      <c r="L1" s="35"/>
      <c r="M1" s="35"/>
      <c r="N1" s="35"/>
      <c r="O1" s="35"/>
      <c r="P1" s="35"/>
      <c r="Q1" s="35"/>
      <c r="R1" s="35"/>
      <c r="S1" s="35"/>
      <c r="T1" s="35"/>
    </row>
    <row r="3" spans="1:20" ht="13.8">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row>
    <row r="4" spans="1:20" ht="27.75" customHeight="1">
      <c r="A4" s="3" t="s">
        <v>21</v>
      </c>
      <c r="B4" s="4">
        <v>46229.5</v>
      </c>
      <c r="C4" s="5" t="s">
        <v>264</v>
      </c>
      <c r="D4" s="3" t="s">
        <v>269</v>
      </c>
      <c r="E4" s="6">
        <v>1</v>
      </c>
      <c r="F4" s="7">
        <v>1199</v>
      </c>
      <c r="G4" s="7">
        <v>0</v>
      </c>
      <c r="H4" s="7">
        <v>0</v>
      </c>
      <c r="I4" s="7">
        <v>1199</v>
      </c>
      <c r="J4" s="3" t="s">
        <v>24</v>
      </c>
      <c r="K4" s="3" t="s">
        <v>25</v>
      </c>
      <c r="L4" s="3" t="s">
        <v>26</v>
      </c>
      <c r="M4" s="3" t="s">
        <v>27</v>
      </c>
      <c r="N4" s="3"/>
      <c r="O4" s="4"/>
      <c r="P4" s="3" t="s">
        <v>28</v>
      </c>
      <c r="Q4" s="4"/>
      <c r="R4" s="4"/>
      <c r="S4" s="4"/>
      <c r="T4" s="5"/>
    </row>
    <row r="5" spans="1:20" ht="27.75" customHeight="1">
      <c r="A5" s="3" t="s">
        <v>29</v>
      </c>
      <c r="B5" s="4">
        <v>46228.5</v>
      </c>
      <c r="C5" s="5" t="s">
        <v>263</v>
      </c>
      <c r="D5" s="3" t="s">
        <v>270</v>
      </c>
      <c r="E5" s="6">
        <v>1</v>
      </c>
      <c r="F5" s="7">
        <v>1499</v>
      </c>
      <c r="G5" s="7">
        <v>100</v>
      </c>
      <c r="H5" s="7">
        <v>0</v>
      </c>
      <c r="I5" s="7">
        <v>1399</v>
      </c>
      <c r="J5" s="3" t="s">
        <v>24</v>
      </c>
      <c r="K5" s="3" t="s">
        <v>32</v>
      </c>
      <c r="L5" s="3" t="s">
        <v>33</v>
      </c>
      <c r="M5" s="3" t="s">
        <v>27</v>
      </c>
      <c r="N5" s="3"/>
      <c r="O5" s="4"/>
      <c r="P5" s="3" t="s">
        <v>28</v>
      </c>
      <c r="Q5" s="4"/>
      <c r="R5" s="4"/>
      <c r="S5" s="4"/>
      <c r="T5" s="5" t="s">
        <v>34</v>
      </c>
    </row>
    <row r="6" spans="1:20" ht="27.75" customHeight="1">
      <c r="A6" s="3" t="s">
        <v>35</v>
      </c>
      <c r="B6" s="4">
        <v>46228.5</v>
      </c>
      <c r="C6" s="5" t="s">
        <v>268</v>
      </c>
      <c r="D6" s="3" t="s">
        <v>271</v>
      </c>
      <c r="E6" s="6">
        <v>1</v>
      </c>
      <c r="F6" s="7">
        <v>999</v>
      </c>
      <c r="G6" s="7">
        <v>0</v>
      </c>
      <c r="H6" s="7">
        <v>0</v>
      </c>
      <c r="I6" s="7">
        <v>999</v>
      </c>
      <c r="J6" s="3" t="s">
        <v>24</v>
      </c>
      <c r="K6" s="3" t="s">
        <v>38</v>
      </c>
      <c r="L6" s="3" t="s">
        <v>39</v>
      </c>
      <c r="M6" s="3" t="s">
        <v>40</v>
      </c>
      <c r="N6" s="3" t="s">
        <v>41</v>
      </c>
      <c r="O6" s="4"/>
      <c r="P6" s="3" t="s">
        <v>28</v>
      </c>
      <c r="Q6" s="4"/>
      <c r="R6" s="4"/>
      <c r="S6" s="4"/>
      <c r="T6" s="5" t="s">
        <v>42</v>
      </c>
    </row>
    <row r="7" spans="1:20" ht="27.75" customHeight="1">
      <c r="A7" s="3" t="s">
        <v>43</v>
      </c>
      <c r="B7" s="4">
        <v>46225.5</v>
      </c>
      <c r="C7" s="5" t="s">
        <v>263</v>
      </c>
      <c r="D7" s="3" t="s">
        <v>270</v>
      </c>
      <c r="E7" s="6">
        <v>2</v>
      </c>
      <c r="F7" s="7">
        <v>1499</v>
      </c>
      <c r="G7" s="7">
        <v>100</v>
      </c>
      <c r="H7" s="7">
        <v>0</v>
      </c>
      <c r="I7" s="7">
        <v>2898</v>
      </c>
      <c r="J7" s="3" t="s">
        <v>44</v>
      </c>
      <c r="K7" s="3" t="s">
        <v>32</v>
      </c>
      <c r="L7" s="3" t="s">
        <v>33</v>
      </c>
      <c r="M7" s="3" t="s">
        <v>45</v>
      </c>
      <c r="N7" s="3"/>
      <c r="O7" s="4"/>
      <c r="P7" s="3" t="s">
        <v>46</v>
      </c>
      <c r="Q7" s="4"/>
      <c r="R7" s="4"/>
      <c r="S7" s="4"/>
      <c r="T7" s="5" t="s">
        <v>47</v>
      </c>
    </row>
    <row r="8" spans="1:20" ht="27.75" customHeight="1">
      <c r="A8" s="3" t="s">
        <v>48</v>
      </c>
      <c r="B8" s="4">
        <v>46225.5</v>
      </c>
      <c r="C8" s="5" t="s">
        <v>265</v>
      </c>
      <c r="D8" s="3" t="s">
        <v>272</v>
      </c>
      <c r="E8" s="6">
        <v>1</v>
      </c>
      <c r="F8" s="7">
        <v>1299</v>
      </c>
      <c r="G8" s="7">
        <v>0</v>
      </c>
      <c r="H8" s="7">
        <v>49</v>
      </c>
      <c r="I8" s="7">
        <v>1348</v>
      </c>
      <c r="J8" s="3" t="s">
        <v>44</v>
      </c>
      <c r="K8" s="3" t="s">
        <v>51</v>
      </c>
      <c r="L8" s="3" t="s">
        <v>52</v>
      </c>
      <c r="M8" s="3" t="s">
        <v>45</v>
      </c>
      <c r="N8" s="3" t="s">
        <v>53</v>
      </c>
      <c r="O8" s="4">
        <v>46226.5</v>
      </c>
      <c r="P8" s="3" t="s">
        <v>54</v>
      </c>
      <c r="Q8" s="4">
        <v>46226.5</v>
      </c>
      <c r="R8" s="4"/>
      <c r="S8" s="4"/>
      <c r="T8" s="5" t="s">
        <v>55</v>
      </c>
    </row>
    <row r="9" spans="1:20" ht="27.75" customHeight="1">
      <c r="A9" s="3" t="s">
        <v>56</v>
      </c>
      <c r="B9" s="4">
        <v>46225.5</v>
      </c>
      <c r="C9" s="5" t="s">
        <v>266</v>
      </c>
      <c r="D9" s="3" t="s">
        <v>273</v>
      </c>
      <c r="E9" s="6">
        <v>2</v>
      </c>
      <c r="F9" s="7">
        <v>1299</v>
      </c>
      <c r="G9" s="7">
        <v>0</v>
      </c>
      <c r="H9" s="7">
        <v>0</v>
      </c>
      <c r="I9" s="7">
        <v>2598</v>
      </c>
      <c r="J9" s="3" t="s">
        <v>24</v>
      </c>
      <c r="K9" s="3" t="s">
        <v>25</v>
      </c>
      <c r="L9" s="3" t="s">
        <v>26</v>
      </c>
      <c r="M9" s="3" t="s">
        <v>59</v>
      </c>
      <c r="N9" s="3" t="s">
        <v>60</v>
      </c>
      <c r="O9" s="4">
        <v>46226.5</v>
      </c>
      <c r="P9" s="3" t="s">
        <v>61</v>
      </c>
      <c r="Q9" s="4">
        <v>46230.5</v>
      </c>
      <c r="R9" s="4"/>
      <c r="S9" s="4"/>
      <c r="T9" s="5"/>
    </row>
    <row r="10" spans="1:20" ht="27.75" customHeight="1">
      <c r="A10" s="3" t="s">
        <v>62</v>
      </c>
      <c r="B10" s="4">
        <v>46225.5</v>
      </c>
      <c r="C10" s="5" t="s">
        <v>268</v>
      </c>
      <c r="D10" s="3" t="s">
        <v>271</v>
      </c>
      <c r="E10" s="6">
        <v>2</v>
      </c>
      <c r="F10" s="7">
        <v>999</v>
      </c>
      <c r="G10" s="7">
        <v>100</v>
      </c>
      <c r="H10" s="7">
        <v>0</v>
      </c>
      <c r="I10" s="7">
        <v>1898</v>
      </c>
      <c r="J10" s="3" t="s">
        <v>44</v>
      </c>
      <c r="K10" s="3" t="s">
        <v>63</v>
      </c>
      <c r="L10" s="3" t="s">
        <v>26</v>
      </c>
      <c r="M10" s="3" t="s">
        <v>45</v>
      </c>
      <c r="N10" s="3"/>
      <c r="O10" s="4"/>
      <c r="P10" s="3" t="s">
        <v>28</v>
      </c>
      <c r="Q10" s="4"/>
      <c r="R10" s="4"/>
      <c r="S10" s="4"/>
      <c r="T10" s="5" t="s">
        <v>64</v>
      </c>
    </row>
    <row r="11" spans="1:20" ht="27.75" customHeight="1">
      <c r="A11" s="3" t="s">
        <v>65</v>
      </c>
      <c r="B11" s="4">
        <v>46224.5</v>
      </c>
      <c r="C11" s="5" t="s">
        <v>268</v>
      </c>
      <c r="D11" s="3" t="s">
        <v>271</v>
      </c>
      <c r="E11" s="6">
        <v>1</v>
      </c>
      <c r="F11" s="7">
        <v>999</v>
      </c>
      <c r="G11" s="7">
        <v>0</v>
      </c>
      <c r="H11" s="7">
        <v>0</v>
      </c>
      <c r="I11" s="7">
        <v>999</v>
      </c>
      <c r="J11" s="3" t="s">
        <v>24</v>
      </c>
      <c r="K11" s="3" t="s">
        <v>66</v>
      </c>
      <c r="L11" s="3" t="s">
        <v>67</v>
      </c>
      <c r="M11" s="3" t="s">
        <v>59</v>
      </c>
      <c r="N11" s="3" t="s">
        <v>53</v>
      </c>
      <c r="O11" s="4">
        <v>46225.5</v>
      </c>
      <c r="P11" s="3" t="s">
        <v>54</v>
      </c>
      <c r="Q11" s="4"/>
      <c r="R11" s="4"/>
      <c r="S11" s="4"/>
      <c r="T11" s="5" t="s">
        <v>68</v>
      </c>
    </row>
    <row r="12" spans="1:20" ht="27.75" customHeight="1">
      <c r="A12" s="3" t="s">
        <v>69</v>
      </c>
      <c r="B12" s="4">
        <v>46224.5</v>
      </c>
      <c r="C12" s="5" t="s">
        <v>266</v>
      </c>
      <c r="D12" s="3" t="s">
        <v>273</v>
      </c>
      <c r="E12" s="6">
        <v>1</v>
      </c>
      <c r="F12" s="7">
        <v>1299</v>
      </c>
      <c r="G12" s="7">
        <v>200</v>
      </c>
      <c r="H12" s="7">
        <v>49</v>
      </c>
      <c r="I12" s="7">
        <v>1148</v>
      </c>
      <c r="J12" s="3" t="s">
        <v>44</v>
      </c>
      <c r="K12" s="3" t="s">
        <v>70</v>
      </c>
      <c r="L12" s="3" t="s">
        <v>71</v>
      </c>
      <c r="M12" s="3" t="s">
        <v>40</v>
      </c>
      <c r="N12" s="3" t="s">
        <v>72</v>
      </c>
      <c r="O12" s="4">
        <v>46225.5</v>
      </c>
      <c r="P12" s="3" t="s">
        <v>54</v>
      </c>
      <c r="Q12" s="4">
        <v>46228.5</v>
      </c>
      <c r="R12" s="4"/>
      <c r="S12" s="4"/>
      <c r="T12" s="5"/>
    </row>
    <row r="13" spans="1:20" ht="27.75" customHeight="1">
      <c r="A13" s="3" t="s">
        <v>73</v>
      </c>
      <c r="B13" s="4">
        <v>46224.5</v>
      </c>
      <c r="C13" s="5" t="s">
        <v>263</v>
      </c>
      <c r="D13" s="3" t="s">
        <v>270</v>
      </c>
      <c r="E13" s="6">
        <v>1</v>
      </c>
      <c r="F13" s="7">
        <v>1499</v>
      </c>
      <c r="G13" s="7">
        <v>0</v>
      </c>
      <c r="H13" s="7">
        <v>0</v>
      </c>
      <c r="I13" s="7">
        <v>1499</v>
      </c>
      <c r="J13" s="3" t="s">
        <v>44</v>
      </c>
      <c r="K13" s="3" t="s">
        <v>66</v>
      </c>
      <c r="L13" s="3" t="s">
        <v>67</v>
      </c>
      <c r="M13" s="3" t="s">
        <v>27</v>
      </c>
      <c r="N13" s="3"/>
      <c r="O13" s="4"/>
      <c r="P13" s="3" t="s">
        <v>28</v>
      </c>
      <c r="Q13" s="4"/>
      <c r="R13" s="4"/>
      <c r="S13" s="4"/>
      <c r="T13" s="5" t="s">
        <v>34</v>
      </c>
    </row>
    <row r="14" spans="1:20" ht="27.75" customHeight="1">
      <c r="A14" s="3" t="s">
        <v>74</v>
      </c>
      <c r="B14" s="4">
        <v>46223.5</v>
      </c>
      <c r="C14" s="5" t="s">
        <v>268</v>
      </c>
      <c r="D14" s="3" t="s">
        <v>271</v>
      </c>
      <c r="E14" s="6">
        <v>1</v>
      </c>
      <c r="F14" s="7">
        <v>999</v>
      </c>
      <c r="G14" s="7">
        <v>100</v>
      </c>
      <c r="H14" s="7">
        <v>0</v>
      </c>
      <c r="I14" s="7">
        <v>899</v>
      </c>
      <c r="J14" s="3" t="s">
        <v>24</v>
      </c>
      <c r="K14" s="3" t="s">
        <v>63</v>
      </c>
      <c r="L14" s="3" t="s">
        <v>26</v>
      </c>
      <c r="M14" s="3" t="s">
        <v>59</v>
      </c>
      <c r="N14" s="3" t="s">
        <v>75</v>
      </c>
      <c r="O14" s="4">
        <v>46224.5</v>
      </c>
      <c r="P14" s="3" t="s">
        <v>54</v>
      </c>
      <c r="Q14" s="4">
        <v>46226.5</v>
      </c>
      <c r="R14" s="4"/>
      <c r="S14" s="4"/>
      <c r="T14" s="5"/>
    </row>
    <row r="15" spans="1:20" ht="27.75" customHeight="1">
      <c r="A15" s="3" t="s">
        <v>76</v>
      </c>
      <c r="B15" s="4">
        <v>46223.5</v>
      </c>
      <c r="C15" s="5" t="s">
        <v>267</v>
      </c>
      <c r="D15" s="3" t="s">
        <v>274</v>
      </c>
      <c r="E15" s="6">
        <v>1</v>
      </c>
      <c r="F15" s="7">
        <v>999</v>
      </c>
      <c r="G15" s="7">
        <v>0</v>
      </c>
      <c r="H15" s="7">
        <v>0</v>
      </c>
      <c r="I15" s="7">
        <v>999</v>
      </c>
      <c r="J15" s="3" t="s">
        <v>24</v>
      </c>
      <c r="K15" s="3" t="s">
        <v>51</v>
      </c>
      <c r="L15" s="3" t="s">
        <v>52</v>
      </c>
      <c r="M15" s="3" t="s">
        <v>40</v>
      </c>
      <c r="N15" s="3" t="s">
        <v>79</v>
      </c>
      <c r="O15" s="4">
        <v>46224.5</v>
      </c>
      <c r="P15" s="3" t="s">
        <v>61</v>
      </c>
      <c r="Q15" s="4">
        <v>46227.5</v>
      </c>
      <c r="R15" s="4"/>
      <c r="S15" s="4"/>
      <c r="T15" s="5" t="s">
        <v>80</v>
      </c>
    </row>
    <row r="16" spans="1:20" ht="27.75" customHeight="1">
      <c r="A16" s="3" t="s">
        <v>81</v>
      </c>
      <c r="B16" s="4">
        <v>46223.5</v>
      </c>
      <c r="C16" s="5" t="s">
        <v>267</v>
      </c>
      <c r="D16" s="3" t="s">
        <v>274</v>
      </c>
      <c r="E16" s="6">
        <v>1</v>
      </c>
      <c r="F16" s="7">
        <v>999</v>
      </c>
      <c r="G16" s="7">
        <v>200</v>
      </c>
      <c r="H16" s="7">
        <v>49</v>
      </c>
      <c r="I16" s="7">
        <v>848</v>
      </c>
      <c r="J16" s="3" t="s">
        <v>44</v>
      </c>
      <c r="K16" s="3" t="s">
        <v>82</v>
      </c>
      <c r="L16" s="3" t="s">
        <v>83</v>
      </c>
      <c r="M16" s="3" t="s">
        <v>40</v>
      </c>
      <c r="N16" s="3"/>
      <c r="O16" s="4"/>
      <c r="P16" s="3" t="s">
        <v>28</v>
      </c>
      <c r="Q16" s="4"/>
      <c r="R16" s="4"/>
      <c r="S16" s="4"/>
      <c r="T16" s="5"/>
    </row>
    <row r="17" spans="1:20" ht="27.75" customHeight="1">
      <c r="A17" s="3" t="s">
        <v>84</v>
      </c>
      <c r="B17" s="4">
        <v>46223.5</v>
      </c>
      <c r="C17" s="5" t="s">
        <v>267</v>
      </c>
      <c r="D17" s="3" t="s">
        <v>274</v>
      </c>
      <c r="E17" s="6">
        <v>2</v>
      </c>
      <c r="F17" s="7">
        <v>999</v>
      </c>
      <c r="G17" s="7">
        <v>100</v>
      </c>
      <c r="H17" s="7">
        <v>0</v>
      </c>
      <c r="I17" s="7">
        <v>1898</v>
      </c>
      <c r="J17" s="3" t="s">
        <v>24</v>
      </c>
      <c r="K17" s="3" t="s">
        <v>85</v>
      </c>
      <c r="L17" s="3" t="s">
        <v>86</v>
      </c>
      <c r="M17" s="3" t="s">
        <v>59</v>
      </c>
      <c r="N17" s="3"/>
      <c r="O17" s="4"/>
      <c r="P17" s="3" t="s">
        <v>28</v>
      </c>
      <c r="Q17" s="4"/>
      <c r="R17" s="4"/>
      <c r="S17" s="4"/>
      <c r="T17" s="5"/>
    </row>
    <row r="18" spans="1:20" ht="27.75" customHeight="1">
      <c r="A18" s="3" t="s">
        <v>87</v>
      </c>
      <c r="B18" s="4">
        <v>46222.5</v>
      </c>
      <c r="C18" s="5" t="s">
        <v>267</v>
      </c>
      <c r="D18" s="3" t="s">
        <v>274</v>
      </c>
      <c r="E18" s="6">
        <v>1</v>
      </c>
      <c r="F18" s="7">
        <v>999</v>
      </c>
      <c r="G18" s="7">
        <v>100</v>
      </c>
      <c r="H18" s="7">
        <v>0</v>
      </c>
      <c r="I18" s="7">
        <v>899</v>
      </c>
      <c r="J18" s="3" t="s">
        <v>24</v>
      </c>
      <c r="K18" s="3" t="s">
        <v>63</v>
      </c>
      <c r="L18" s="3" t="s">
        <v>26</v>
      </c>
      <c r="M18" s="3" t="s">
        <v>45</v>
      </c>
      <c r="N18" s="3" t="s">
        <v>88</v>
      </c>
      <c r="O18" s="4">
        <v>46223.5</v>
      </c>
      <c r="P18" s="3" t="s">
        <v>54</v>
      </c>
      <c r="Q18" s="4">
        <v>46226.5</v>
      </c>
      <c r="R18" s="4"/>
      <c r="S18" s="4"/>
      <c r="T18" s="5"/>
    </row>
    <row r="19" spans="1:20" ht="27.75" customHeight="1">
      <c r="A19" s="3" t="s">
        <v>89</v>
      </c>
      <c r="B19" s="4">
        <v>46222.5</v>
      </c>
      <c r="C19" s="5" t="s">
        <v>263</v>
      </c>
      <c r="D19" s="3" t="s">
        <v>270</v>
      </c>
      <c r="E19" s="6">
        <v>1</v>
      </c>
      <c r="F19" s="7">
        <v>1499</v>
      </c>
      <c r="G19" s="7">
        <v>100</v>
      </c>
      <c r="H19" s="7">
        <v>0</v>
      </c>
      <c r="I19" s="7">
        <v>1399</v>
      </c>
      <c r="J19" s="3" t="s">
        <v>24</v>
      </c>
      <c r="K19" s="3" t="s">
        <v>25</v>
      </c>
      <c r="L19" s="3" t="s">
        <v>26</v>
      </c>
      <c r="M19" s="3" t="s">
        <v>45</v>
      </c>
      <c r="N19" s="3"/>
      <c r="O19" s="4"/>
      <c r="P19" s="3" t="s">
        <v>28</v>
      </c>
      <c r="Q19" s="4"/>
      <c r="R19" s="4"/>
      <c r="S19" s="4"/>
      <c r="T19" s="5" t="s">
        <v>34</v>
      </c>
    </row>
    <row r="20" spans="1:20" ht="27.75" customHeight="1">
      <c r="A20" s="3" t="s">
        <v>90</v>
      </c>
      <c r="B20" s="4">
        <v>46221.5</v>
      </c>
      <c r="C20" s="5" t="s">
        <v>263</v>
      </c>
      <c r="D20" s="3" t="s">
        <v>270</v>
      </c>
      <c r="E20" s="6">
        <v>1</v>
      </c>
      <c r="F20" s="7">
        <v>1499</v>
      </c>
      <c r="G20" s="7">
        <v>150</v>
      </c>
      <c r="H20" s="7">
        <v>0</v>
      </c>
      <c r="I20" s="7">
        <v>1349</v>
      </c>
      <c r="J20" s="3" t="s">
        <v>24</v>
      </c>
      <c r="K20" s="3" t="s">
        <v>91</v>
      </c>
      <c r="L20" s="3" t="s">
        <v>91</v>
      </c>
      <c r="M20" s="3" t="s">
        <v>45</v>
      </c>
      <c r="N20" s="3" t="s">
        <v>92</v>
      </c>
      <c r="O20" s="4">
        <v>46222.5</v>
      </c>
      <c r="P20" s="3" t="s">
        <v>93</v>
      </c>
      <c r="Q20" s="4">
        <v>46227.5</v>
      </c>
      <c r="R20" s="4">
        <v>46227.5</v>
      </c>
      <c r="S20" s="4"/>
      <c r="T20" s="5"/>
    </row>
    <row r="21" spans="1:20" ht="27.75" customHeight="1">
      <c r="A21" s="3" t="s">
        <v>94</v>
      </c>
      <c r="B21" s="4">
        <v>46221.5</v>
      </c>
      <c r="C21" s="5" t="s">
        <v>264</v>
      </c>
      <c r="D21" s="3" t="s">
        <v>269</v>
      </c>
      <c r="E21" s="6">
        <v>1</v>
      </c>
      <c r="F21" s="7">
        <v>1199</v>
      </c>
      <c r="G21" s="7">
        <v>0</v>
      </c>
      <c r="H21" s="7">
        <v>0</v>
      </c>
      <c r="I21" s="7">
        <v>1199</v>
      </c>
      <c r="J21" s="3" t="s">
        <v>24</v>
      </c>
      <c r="K21" s="3" t="s">
        <v>95</v>
      </c>
      <c r="L21" s="3" t="s">
        <v>96</v>
      </c>
      <c r="M21" s="3" t="s">
        <v>45</v>
      </c>
      <c r="N21" s="3" t="s">
        <v>97</v>
      </c>
      <c r="O21" s="4">
        <v>46222.5</v>
      </c>
      <c r="P21" s="3" t="s">
        <v>93</v>
      </c>
      <c r="Q21" s="4">
        <v>46224.5</v>
      </c>
      <c r="R21" s="4">
        <v>46224.5</v>
      </c>
      <c r="S21" s="4"/>
      <c r="T21" s="5"/>
    </row>
    <row r="22" spans="1:20" ht="27.75" customHeight="1">
      <c r="A22" s="3" t="s">
        <v>98</v>
      </c>
      <c r="B22" s="4">
        <v>46221.5</v>
      </c>
      <c r="C22" s="5" t="s">
        <v>265</v>
      </c>
      <c r="D22" s="3" t="s">
        <v>272</v>
      </c>
      <c r="E22" s="6">
        <v>2</v>
      </c>
      <c r="F22" s="7">
        <v>1299</v>
      </c>
      <c r="G22" s="7">
        <v>0</v>
      </c>
      <c r="H22" s="7">
        <v>0</v>
      </c>
      <c r="I22" s="7">
        <v>2598</v>
      </c>
      <c r="J22" s="3" t="s">
        <v>44</v>
      </c>
      <c r="K22" s="3" t="s">
        <v>99</v>
      </c>
      <c r="L22" s="3" t="s">
        <v>100</v>
      </c>
      <c r="M22" s="3" t="s">
        <v>59</v>
      </c>
      <c r="N22" s="3" t="s">
        <v>101</v>
      </c>
      <c r="O22" s="4">
        <v>46222.5</v>
      </c>
      <c r="P22" s="3" t="s">
        <v>93</v>
      </c>
      <c r="Q22" s="4">
        <v>46227.5</v>
      </c>
      <c r="R22" s="4">
        <v>46227.5</v>
      </c>
      <c r="S22" s="4"/>
      <c r="T22" s="5"/>
    </row>
    <row r="23" spans="1:20" ht="27.75" customHeight="1">
      <c r="A23" s="3" t="s">
        <v>102</v>
      </c>
      <c r="B23" s="4">
        <v>46221.5</v>
      </c>
      <c r="C23" s="5" t="s">
        <v>266</v>
      </c>
      <c r="D23" s="3" t="s">
        <v>273</v>
      </c>
      <c r="E23" s="6">
        <v>1</v>
      </c>
      <c r="F23" s="7">
        <v>1299</v>
      </c>
      <c r="G23" s="7">
        <v>200</v>
      </c>
      <c r="H23" s="7">
        <v>0</v>
      </c>
      <c r="I23" s="7">
        <v>1099</v>
      </c>
      <c r="J23" s="3" t="s">
        <v>24</v>
      </c>
      <c r="K23" s="3" t="s">
        <v>95</v>
      </c>
      <c r="L23" s="3" t="s">
        <v>96</v>
      </c>
      <c r="M23" s="3" t="s">
        <v>45</v>
      </c>
      <c r="N23" s="3" t="s">
        <v>103</v>
      </c>
      <c r="O23" s="4">
        <v>46222.5</v>
      </c>
      <c r="P23" s="3" t="s">
        <v>93</v>
      </c>
      <c r="Q23" s="4">
        <v>46225.5</v>
      </c>
      <c r="R23" s="4">
        <v>46225.5</v>
      </c>
      <c r="S23" s="4"/>
      <c r="T23" s="5"/>
    </row>
    <row r="24" spans="1:20" ht="27.75" customHeight="1">
      <c r="A24" s="3" t="s">
        <v>104</v>
      </c>
      <c r="B24" s="4">
        <v>46221.5</v>
      </c>
      <c r="C24" s="5" t="s">
        <v>266</v>
      </c>
      <c r="D24" s="3" t="s">
        <v>273</v>
      </c>
      <c r="E24" s="6">
        <v>1</v>
      </c>
      <c r="F24" s="7">
        <v>1299</v>
      </c>
      <c r="G24" s="7">
        <v>0</v>
      </c>
      <c r="H24" s="7">
        <v>49</v>
      </c>
      <c r="I24" s="7">
        <v>1348</v>
      </c>
      <c r="J24" s="3" t="s">
        <v>44</v>
      </c>
      <c r="K24" s="3" t="s">
        <v>82</v>
      </c>
      <c r="L24" s="3" t="s">
        <v>83</v>
      </c>
      <c r="M24" s="3" t="s">
        <v>27</v>
      </c>
      <c r="N24" s="3" t="s">
        <v>105</v>
      </c>
      <c r="O24" s="4">
        <v>46222.5</v>
      </c>
      <c r="P24" s="3" t="s">
        <v>61</v>
      </c>
      <c r="Q24" s="4">
        <v>46227.5</v>
      </c>
      <c r="R24" s="4"/>
      <c r="S24" s="4"/>
      <c r="T24" s="5" t="s">
        <v>106</v>
      </c>
    </row>
    <row r="25" spans="1:20" ht="27.75" customHeight="1">
      <c r="A25" s="3" t="s">
        <v>107</v>
      </c>
      <c r="B25" s="4">
        <v>46221.5</v>
      </c>
      <c r="C25" s="5" t="s">
        <v>267</v>
      </c>
      <c r="D25" s="3" t="s">
        <v>274</v>
      </c>
      <c r="E25" s="6">
        <v>1</v>
      </c>
      <c r="F25" s="7">
        <v>999</v>
      </c>
      <c r="G25" s="7">
        <v>0</v>
      </c>
      <c r="H25" s="7">
        <v>0</v>
      </c>
      <c r="I25" s="7">
        <v>999</v>
      </c>
      <c r="J25" s="3" t="s">
        <v>24</v>
      </c>
      <c r="K25" s="3" t="s">
        <v>63</v>
      </c>
      <c r="L25" s="3" t="s">
        <v>26</v>
      </c>
      <c r="M25" s="3" t="s">
        <v>45</v>
      </c>
      <c r="N25" s="3" t="s">
        <v>108</v>
      </c>
      <c r="O25" s="4">
        <v>46222.5</v>
      </c>
      <c r="P25" s="3" t="s">
        <v>61</v>
      </c>
      <c r="Q25" s="4">
        <v>46230.5</v>
      </c>
      <c r="R25" s="4"/>
      <c r="S25" s="4"/>
      <c r="T25" s="5"/>
    </row>
    <row r="26" spans="1:20" ht="27.75" customHeight="1">
      <c r="A26" s="3" t="s">
        <v>109</v>
      </c>
      <c r="B26" s="4">
        <v>46220.5</v>
      </c>
      <c r="C26" s="5" t="s">
        <v>264</v>
      </c>
      <c r="D26" s="3" t="s">
        <v>269</v>
      </c>
      <c r="E26" s="6">
        <v>1</v>
      </c>
      <c r="F26" s="7">
        <v>1199</v>
      </c>
      <c r="G26" s="7">
        <v>0</v>
      </c>
      <c r="H26" s="7">
        <v>49</v>
      </c>
      <c r="I26" s="7">
        <v>1248</v>
      </c>
      <c r="J26" s="3" t="s">
        <v>44</v>
      </c>
      <c r="K26" s="3" t="s">
        <v>25</v>
      </c>
      <c r="L26" s="3" t="s">
        <v>26</v>
      </c>
      <c r="M26" s="3" t="s">
        <v>59</v>
      </c>
      <c r="N26" s="3" t="s">
        <v>110</v>
      </c>
      <c r="O26" s="4">
        <v>46221.5</v>
      </c>
      <c r="P26" s="3" t="s">
        <v>93</v>
      </c>
      <c r="Q26" s="4">
        <v>46223.5</v>
      </c>
      <c r="R26" s="4">
        <v>46223.5</v>
      </c>
      <c r="S26" s="4"/>
      <c r="T26" s="5"/>
    </row>
    <row r="27" spans="1:20" ht="27.75" customHeight="1">
      <c r="A27" s="3" t="s">
        <v>111</v>
      </c>
      <c r="B27" s="4">
        <v>46220.5</v>
      </c>
      <c r="C27" s="5" t="s">
        <v>264</v>
      </c>
      <c r="D27" s="3" t="s">
        <v>269</v>
      </c>
      <c r="E27" s="6">
        <v>1</v>
      </c>
      <c r="F27" s="7">
        <v>1199</v>
      </c>
      <c r="G27" s="7">
        <v>0</v>
      </c>
      <c r="H27" s="7">
        <v>0</v>
      </c>
      <c r="I27" s="7">
        <v>1199</v>
      </c>
      <c r="J27" s="3" t="s">
        <v>24</v>
      </c>
      <c r="K27" s="3" t="s">
        <v>25</v>
      </c>
      <c r="L27" s="3" t="s">
        <v>26</v>
      </c>
      <c r="M27" s="3" t="s">
        <v>27</v>
      </c>
      <c r="N27" s="3" t="s">
        <v>112</v>
      </c>
      <c r="O27" s="4">
        <v>46221.5</v>
      </c>
      <c r="P27" s="3" t="s">
        <v>54</v>
      </c>
      <c r="Q27" s="4">
        <v>46221.5</v>
      </c>
      <c r="R27" s="4"/>
      <c r="S27" s="4"/>
      <c r="T27" s="5" t="s">
        <v>55</v>
      </c>
    </row>
    <row r="28" spans="1:20" ht="27.75" customHeight="1">
      <c r="A28" s="3" t="s">
        <v>113</v>
      </c>
      <c r="B28" s="4">
        <v>46220.5</v>
      </c>
      <c r="C28" s="5" t="s">
        <v>267</v>
      </c>
      <c r="D28" s="3" t="s">
        <v>274</v>
      </c>
      <c r="E28" s="6">
        <v>1</v>
      </c>
      <c r="F28" s="7">
        <v>999</v>
      </c>
      <c r="G28" s="7">
        <v>200</v>
      </c>
      <c r="H28" s="7">
        <v>0</v>
      </c>
      <c r="I28" s="7">
        <v>799</v>
      </c>
      <c r="J28" s="3" t="s">
        <v>24</v>
      </c>
      <c r="K28" s="3" t="s">
        <v>114</v>
      </c>
      <c r="L28" s="3" t="s">
        <v>115</v>
      </c>
      <c r="M28" s="3" t="s">
        <v>27</v>
      </c>
      <c r="N28" s="3"/>
      <c r="O28" s="4"/>
      <c r="P28" s="3" t="s">
        <v>28</v>
      </c>
      <c r="Q28" s="4"/>
      <c r="R28" s="4"/>
      <c r="S28" s="4"/>
      <c r="T28" s="5"/>
    </row>
    <row r="29" spans="1:20" ht="27.75" customHeight="1">
      <c r="A29" s="3" t="s">
        <v>116</v>
      </c>
      <c r="B29" s="4">
        <v>46219.5</v>
      </c>
      <c r="C29" s="5" t="s">
        <v>265</v>
      </c>
      <c r="D29" s="3" t="s">
        <v>272</v>
      </c>
      <c r="E29" s="6">
        <v>1</v>
      </c>
      <c r="F29" s="7">
        <v>1299</v>
      </c>
      <c r="G29" s="7">
        <v>150</v>
      </c>
      <c r="H29" s="7">
        <v>0</v>
      </c>
      <c r="I29" s="7">
        <v>1149</v>
      </c>
      <c r="J29" s="3" t="s">
        <v>24</v>
      </c>
      <c r="K29" s="3" t="s">
        <v>117</v>
      </c>
      <c r="L29" s="3" t="s">
        <v>96</v>
      </c>
      <c r="M29" s="3" t="s">
        <v>45</v>
      </c>
      <c r="N29" s="3"/>
      <c r="O29" s="4"/>
      <c r="P29" s="3" t="s">
        <v>46</v>
      </c>
      <c r="Q29" s="4"/>
      <c r="R29" s="4"/>
      <c r="S29" s="4"/>
      <c r="T29" s="5" t="s">
        <v>47</v>
      </c>
    </row>
    <row r="30" spans="1:20" ht="27.75" customHeight="1">
      <c r="A30" s="3" t="s">
        <v>118</v>
      </c>
      <c r="B30" s="4">
        <v>46219.5</v>
      </c>
      <c r="C30" s="5" t="s">
        <v>263</v>
      </c>
      <c r="D30" s="3" t="s">
        <v>270</v>
      </c>
      <c r="E30" s="6">
        <v>1</v>
      </c>
      <c r="F30" s="7">
        <v>1499</v>
      </c>
      <c r="G30" s="7">
        <v>150</v>
      </c>
      <c r="H30" s="7">
        <v>49</v>
      </c>
      <c r="I30" s="7">
        <v>1398</v>
      </c>
      <c r="J30" s="3" t="s">
        <v>44</v>
      </c>
      <c r="K30" s="3" t="s">
        <v>70</v>
      </c>
      <c r="L30" s="3" t="s">
        <v>71</v>
      </c>
      <c r="M30" s="3" t="s">
        <v>59</v>
      </c>
      <c r="N30" s="3" t="s">
        <v>119</v>
      </c>
      <c r="O30" s="4">
        <v>46220.5</v>
      </c>
      <c r="P30" s="3" t="s">
        <v>46</v>
      </c>
      <c r="Q30" s="4"/>
      <c r="R30" s="4"/>
      <c r="S30" s="4"/>
      <c r="T30" s="5" t="s">
        <v>120</v>
      </c>
    </row>
    <row r="31" spans="1:20" ht="27.75" customHeight="1">
      <c r="A31" s="3" t="s">
        <v>121</v>
      </c>
      <c r="B31" s="4">
        <v>46219.5</v>
      </c>
      <c r="C31" s="5" t="s">
        <v>263</v>
      </c>
      <c r="D31" s="3" t="s">
        <v>270</v>
      </c>
      <c r="E31" s="6">
        <v>1</v>
      </c>
      <c r="F31" s="7">
        <v>1499</v>
      </c>
      <c r="G31" s="7">
        <v>0</v>
      </c>
      <c r="H31" s="7">
        <v>0</v>
      </c>
      <c r="I31" s="7">
        <v>1499</v>
      </c>
      <c r="J31" s="3" t="s">
        <v>24</v>
      </c>
      <c r="K31" s="3" t="s">
        <v>122</v>
      </c>
      <c r="L31" s="3" t="s">
        <v>96</v>
      </c>
      <c r="M31" s="3" t="s">
        <v>27</v>
      </c>
      <c r="N31" s="3" t="s">
        <v>123</v>
      </c>
      <c r="O31" s="4">
        <v>46220.5</v>
      </c>
      <c r="P31" s="3" t="s">
        <v>93</v>
      </c>
      <c r="Q31" s="4">
        <v>46225.5</v>
      </c>
      <c r="R31" s="4">
        <v>46225.5</v>
      </c>
      <c r="S31" s="4"/>
      <c r="T31" s="5"/>
    </row>
    <row r="32" spans="1:20" ht="27.75" customHeight="1">
      <c r="A32" s="3" t="s">
        <v>124</v>
      </c>
      <c r="B32" s="4">
        <v>46219.5</v>
      </c>
      <c r="C32" s="5" t="s">
        <v>264</v>
      </c>
      <c r="D32" s="3" t="s">
        <v>269</v>
      </c>
      <c r="E32" s="6">
        <v>1</v>
      </c>
      <c r="F32" s="7">
        <v>1199</v>
      </c>
      <c r="G32" s="7">
        <v>0</v>
      </c>
      <c r="H32" s="7">
        <v>0</v>
      </c>
      <c r="I32" s="7">
        <v>1199</v>
      </c>
      <c r="J32" s="3" t="s">
        <v>24</v>
      </c>
      <c r="K32" s="3" t="s">
        <v>125</v>
      </c>
      <c r="L32" s="3" t="s">
        <v>126</v>
      </c>
      <c r="M32" s="3" t="s">
        <v>27</v>
      </c>
      <c r="N32" s="3" t="s">
        <v>127</v>
      </c>
      <c r="O32" s="4">
        <v>46220.5</v>
      </c>
      <c r="P32" s="3" t="s">
        <v>93</v>
      </c>
      <c r="Q32" s="4">
        <v>46225.5</v>
      </c>
      <c r="R32" s="4">
        <v>46225.5</v>
      </c>
      <c r="S32" s="4"/>
      <c r="T32" s="5"/>
    </row>
    <row r="33" spans="1:20" ht="27.75" customHeight="1">
      <c r="A33" s="3" t="s">
        <v>128</v>
      </c>
      <c r="B33" s="4">
        <v>46219.5</v>
      </c>
      <c r="C33" s="5" t="s">
        <v>267</v>
      </c>
      <c r="D33" s="3" t="s">
        <v>274</v>
      </c>
      <c r="E33" s="6">
        <v>1</v>
      </c>
      <c r="F33" s="7">
        <v>999</v>
      </c>
      <c r="G33" s="7">
        <v>100</v>
      </c>
      <c r="H33" s="7">
        <v>0</v>
      </c>
      <c r="I33" s="7">
        <v>899</v>
      </c>
      <c r="J33" s="3" t="s">
        <v>24</v>
      </c>
      <c r="K33" s="3" t="s">
        <v>38</v>
      </c>
      <c r="L33" s="3" t="s">
        <v>39</v>
      </c>
      <c r="M33" s="3" t="s">
        <v>40</v>
      </c>
      <c r="N33" s="3" t="s">
        <v>129</v>
      </c>
      <c r="O33" s="4">
        <v>46220.5</v>
      </c>
      <c r="P33" s="3" t="s">
        <v>93</v>
      </c>
      <c r="Q33" s="4">
        <v>46221.5</v>
      </c>
      <c r="R33" s="4">
        <v>46221.5</v>
      </c>
      <c r="S33" s="4"/>
      <c r="T33" s="5"/>
    </row>
    <row r="34" spans="1:20" ht="27.75" customHeight="1">
      <c r="A34" s="3" t="s">
        <v>130</v>
      </c>
      <c r="B34" s="4">
        <v>46218.5</v>
      </c>
      <c r="C34" s="5" t="s">
        <v>268</v>
      </c>
      <c r="D34" s="3" t="s">
        <v>271</v>
      </c>
      <c r="E34" s="6">
        <v>1</v>
      </c>
      <c r="F34" s="7">
        <v>999</v>
      </c>
      <c r="G34" s="7">
        <v>0</v>
      </c>
      <c r="H34" s="7">
        <v>0</v>
      </c>
      <c r="I34" s="7">
        <v>999</v>
      </c>
      <c r="J34" s="3" t="s">
        <v>24</v>
      </c>
      <c r="K34" s="3" t="s">
        <v>38</v>
      </c>
      <c r="L34" s="3" t="s">
        <v>39</v>
      </c>
      <c r="M34" s="3" t="s">
        <v>45</v>
      </c>
      <c r="N34" s="3" t="s">
        <v>131</v>
      </c>
      <c r="O34" s="4">
        <v>46220.5</v>
      </c>
      <c r="P34" s="3" t="s">
        <v>93</v>
      </c>
      <c r="Q34" s="4">
        <v>46225.5</v>
      </c>
      <c r="R34" s="4">
        <v>46225.5</v>
      </c>
      <c r="S34" s="4"/>
      <c r="T34" s="5"/>
    </row>
    <row r="35" spans="1:20" ht="27.75" customHeight="1">
      <c r="A35" s="3" t="s">
        <v>132</v>
      </c>
      <c r="B35" s="4">
        <v>46218.5</v>
      </c>
      <c r="C35" s="5" t="s">
        <v>264</v>
      </c>
      <c r="D35" s="3" t="s">
        <v>269</v>
      </c>
      <c r="E35" s="6">
        <v>1</v>
      </c>
      <c r="F35" s="7">
        <v>1199</v>
      </c>
      <c r="G35" s="7">
        <v>150</v>
      </c>
      <c r="H35" s="7">
        <v>0</v>
      </c>
      <c r="I35" s="7">
        <v>1049</v>
      </c>
      <c r="J35" s="3" t="s">
        <v>24</v>
      </c>
      <c r="K35" s="3" t="s">
        <v>125</v>
      </c>
      <c r="L35" s="3" t="s">
        <v>126</v>
      </c>
      <c r="M35" s="3" t="s">
        <v>45</v>
      </c>
      <c r="N35" s="3" t="s">
        <v>133</v>
      </c>
      <c r="O35" s="4">
        <v>46219.5</v>
      </c>
      <c r="P35" s="3" t="s">
        <v>93</v>
      </c>
      <c r="Q35" s="4">
        <v>46220.5</v>
      </c>
      <c r="R35" s="4">
        <v>46220.5</v>
      </c>
      <c r="S35" s="4"/>
      <c r="T35" s="5"/>
    </row>
    <row r="36" spans="1:20" ht="27.75" customHeight="1">
      <c r="A36" s="3" t="s">
        <v>134</v>
      </c>
      <c r="B36" s="4">
        <v>46218.5</v>
      </c>
      <c r="C36" s="5" t="s">
        <v>264</v>
      </c>
      <c r="D36" s="3" t="s">
        <v>269</v>
      </c>
      <c r="E36" s="6">
        <v>2</v>
      </c>
      <c r="F36" s="7">
        <v>1199</v>
      </c>
      <c r="G36" s="7">
        <v>200</v>
      </c>
      <c r="H36" s="7">
        <v>0</v>
      </c>
      <c r="I36" s="7">
        <v>2198</v>
      </c>
      <c r="J36" s="3" t="s">
        <v>44</v>
      </c>
      <c r="K36" s="3" t="s">
        <v>38</v>
      </c>
      <c r="L36" s="3" t="s">
        <v>39</v>
      </c>
      <c r="M36" s="3" t="s">
        <v>40</v>
      </c>
      <c r="N36" s="3" t="s">
        <v>135</v>
      </c>
      <c r="O36" s="4">
        <v>46219.5</v>
      </c>
      <c r="P36" s="3" t="s">
        <v>54</v>
      </c>
      <c r="Q36" s="4">
        <v>46221.5</v>
      </c>
      <c r="R36" s="4"/>
      <c r="S36" s="4"/>
      <c r="T36" s="5"/>
    </row>
    <row r="37" spans="1:20" ht="27.75" customHeight="1">
      <c r="A37" s="3" t="s">
        <v>136</v>
      </c>
      <c r="B37" s="4">
        <v>46218.5</v>
      </c>
      <c r="C37" s="5" t="s">
        <v>267</v>
      </c>
      <c r="D37" s="3" t="s">
        <v>274</v>
      </c>
      <c r="E37" s="6">
        <v>1</v>
      </c>
      <c r="F37" s="7">
        <v>999</v>
      </c>
      <c r="G37" s="7">
        <v>0</v>
      </c>
      <c r="H37" s="7">
        <v>0</v>
      </c>
      <c r="I37" s="7">
        <v>999</v>
      </c>
      <c r="J37" s="3" t="s">
        <v>24</v>
      </c>
      <c r="K37" s="3" t="s">
        <v>137</v>
      </c>
      <c r="L37" s="3" t="s">
        <v>71</v>
      </c>
      <c r="M37" s="3" t="s">
        <v>59</v>
      </c>
      <c r="N37" s="3" t="s">
        <v>138</v>
      </c>
      <c r="O37" s="4">
        <v>46219.5</v>
      </c>
      <c r="P37" s="3" t="s">
        <v>61</v>
      </c>
      <c r="Q37" s="4">
        <v>46230.5</v>
      </c>
      <c r="R37" s="4"/>
      <c r="S37" s="4"/>
      <c r="T37" s="5"/>
    </row>
    <row r="38" spans="1:20" ht="27.75" customHeight="1">
      <c r="A38" s="3" t="s">
        <v>139</v>
      </c>
      <c r="B38" s="4">
        <v>46217.5</v>
      </c>
      <c r="C38" s="5" t="s">
        <v>265</v>
      </c>
      <c r="D38" s="3" t="s">
        <v>272</v>
      </c>
      <c r="E38" s="6">
        <v>1</v>
      </c>
      <c r="F38" s="7">
        <v>1299</v>
      </c>
      <c r="G38" s="7">
        <v>200</v>
      </c>
      <c r="H38" s="7">
        <v>49</v>
      </c>
      <c r="I38" s="7">
        <v>1148</v>
      </c>
      <c r="J38" s="3" t="s">
        <v>44</v>
      </c>
      <c r="K38" s="3" t="s">
        <v>51</v>
      </c>
      <c r="L38" s="3" t="s">
        <v>52</v>
      </c>
      <c r="M38" s="3" t="s">
        <v>59</v>
      </c>
      <c r="N38" s="3" t="s">
        <v>140</v>
      </c>
      <c r="O38" s="4">
        <v>46218.5</v>
      </c>
      <c r="P38" s="3" t="s">
        <v>93</v>
      </c>
      <c r="Q38" s="4">
        <v>46222.5</v>
      </c>
      <c r="R38" s="4">
        <v>46222.5</v>
      </c>
      <c r="S38" s="4"/>
      <c r="T38" s="5"/>
    </row>
    <row r="39" spans="1:20" ht="27.75" customHeight="1">
      <c r="A39" s="3" t="s">
        <v>141</v>
      </c>
      <c r="B39" s="4">
        <v>46217.5</v>
      </c>
      <c r="C39" s="5" t="s">
        <v>267</v>
      </c>
      <c r="D39" s="3" t="s">
        <v>274</v>
      </c>
      <c r="E39" s="6">
        <v>1</v>
      </c>
      <c r="F39" s="7">
        <v>999</v>
      </c>
      <c r="G39" s="7">
        <v>100</v>
      </c>
      <c r="H39" s="7">
        <v>0</v>
      </c>
      <c r="I39" s="7">
        <v>899</v>
      </c>
      <c r="J39" s="3" t="s">
        <v>24</v>
      </c>
      <c r="K39" s="3" t="s">
        <v>91</v>
      </c>
      <c r="L39" s="3" t="s">
        <v>91</v>
      </c>
      <c r="M39" s="3" t="s">
        <v>27</v>
      </c>
      <c r="N39" s="3" t="s">
        <v>142</v>
      </c>
      <c r="O39" s="4">
        <v>46218.5</v>
      </c>
      <c r="P39" s="3" t="s">
        <v>93</v>
      </c>
      <c r="Q39" s="4">
        <v>46222.5</v>
      </c>
      <c r="R39" s="4">
        <v>46222.5</v>
      </c>
      <c r="S39" s="4"/>
      <c r="T39" s="5"/>
    </row>
    <row r="40" spans="1:20" ht="27.75" customHeight="1">
      <c r="A40" s="3" t="s">
        <v>143</v>
      </c>
      <c r="B40" s="4">
        <v>46217.5</v>
      </c>
      <c r="C40" s="5" t="s">
        <v>265</v>
      </c>
      <c r="D40" s="3" t="s">
        <v>272</v>
      </c>
      <c r="E40" s="6">
        <v>3</v>
      </c>
      <c r="F40" s="7">
        <v>1299</v>
      </c>
      <c r="G40" s="7">
        <v>0</v>
      </c>
      <c r="H40" s="7">
        <v>0</v>
      </c>
      <c r="I40" s="7">
        <v>3897</v>
      </c>
      <c r="J40" s="3" t="s">
        <v>24</v>
      </c>
      <c r="K40" s="3" t="s">
        <v>122</v>
      </c>
      <c r="L40" s="3" t="s">
        <v>96</v>
      </c>
      <c r="M40" s="3" t="s">
        <v>59</v>
      </c>
      <c r="N40" s="3" t="s">
        <v>144</v>
      </c>
      <c r="O40" s="4">
        <v>46218.5</v>
      </c>
      <c r="P40" s="3" t="s">
        <v>54</v>
      </c>
      <c r="Q40" s="4">
        <v>46218.5</v>
      </c>
      <c r="R40" s="4"/>
      <c r="S40" s="4"/>
      <c r="T40" s="5" t="s">
        <v>55</v>
      </c>
    </row>
    <row r="41" spans="1:20" ht="27.75" customHeight="1">
      <c r="A41" s="3" t="s">
        <v>145</v>
      </c>
      <c r="B41" s="4">
        <v>46217.5</v>
      </c>
      <c r="C41" s="5" t="s">
        <v>268</v>
      </c>
      <c r="D41" s="3" t="s">
        <v>271</v>
      </c>
      <c r="E41" s="6">
        <v>1</v>
      </c>
      <c r="F41" s="7">
        <v>999</v>
      </c>
      <c r="G41" s="7">
        <v>150</v>
      </c>
      <c r="H41" s="7">
        <v>49</v>
      </c>
      <c r="I41" s="7">
        <v>898</v>
      </c>
      <c r="J41" s="3" t="s">
        <v>44</v>
      </c>
      <c r="K41" s="3" t="s">
        <v>32</v>
      </c>
      <c r="L41" s="3" t="s">
        <v>33</v>
      </c>
      <c r="M41" s="3" t="s">
        <v>59</v>
      </c>
      <c r="N41" s="3" t="s">
        <v>146</v>
      </c>
      <c r="O41" s="4">
        <v>46218.5</v>
      </c>
      <c r="P41" s="3" t="s">
        <v>61</v>
      </c>
      <c r="Q41" s="4">
        <v>46230.5</v>
      </c>
      <c r="R41" s="4"/>
      <c r="S41" s="4"/>
      <c r="T41" s="5"/>
    </row>
    <row r="42" spans="1:20" ht="27.75" customHeight="1">
      <c r="A42" s="3" t="s">
        <v>147</v>
      </c>
      <c r="B42" s="4">
        <v>46217.5</v>
      </c>
      <c r="C42" s="5" t="s">
        <v>264</v>
      </c>
      <c r="D42" s="3" t="s">
        <v>269</v>
      </c>
      <c r="E42" s="6">
        <v>1</v>
      </c>
      <c r="F42" s="7">
        <v>1199</v>
      </c>
      <c r="G42" s="7">
        <v>200</v>
      </c>
      <c r="H42" s="7">
        <v>49</v>
      </c>
      <c r="I42" s="7">
        <v>1048</v>
      </c>
      <c r="J42" s="3" t="s">
        <v>44</v>
      </c>
      <c r="K42" s="3" t="s">
        <v>85</v>
      </c>
      <c r="L42" s="3" t="s">
        <v>86</v>
      </c>
      <c r="M42" s="3" t="s">
        <v>27</v>
      </c>
      <c r="N42" s="3" t="s">
        <v>148</v>
      </c>
      <c r="O42" s="4">
        <v>46218.5</v>
      </c>
      <c r="P42" s="3" t="s">
        <v>149</v>
      </c>
      <c r="Q42" s="4">
        <v>46227.5</v>
      </c>
      <c r="R42" s="4"/>
      <c r="S42" s="4">
        <v>46227.5</v>
      </c>
      <c r="T42" s="5" t="s">
        <v>150</v>
      </c>
    </row>
    <row r="43" spans="1:20" ht="27.75" customHeight="1">
      <c r="A43" s="3" t="s">
        <v>151</v>
      </c>
      <c r="B43" s="4">
        <v>46217.5</v>
      </c>
      <c r="C43" s="5" t="s">
        <v>267</v>
      </c>
      <c r="D43" s="3" t="s">
        <v>274</v>
      </c>
      <c r="E43" s="6">
        <v>1</v>
      </c>
      <c r="F43" s="7">
        <v>999</v>
      </c>
      <c r="G43" s="7">
        <v>200</v>
      </c>
      <c r="H43" s="7">
        <v>0</v>
      </c>
      <c r="I43" s="7">
        <v>799</v>
      </c>
      <c r="J43" s="3" t="s">
        <v>24</v>
      </c>
      <c r="K43" s="3" t="s">
        <v>51</v>
      </c>
      <c r="L43" s="3" t="s">
        <v>52</v>
      </c>
      <c r="M43" s="3" t="s">
        <v>40</v>
      </c>
      <c r="N43" s="3" t="s">
        <v>152</v>
      </c>
      <c r="O43" s="4">
        <v>46218.5</v>
      </c>
      <c r="P43" s="3" t="s">
        <v>149</v>
      </c>
      <c r="Q43" s="4">
        <v>46224.5</v>
      </c>
      <c r="R43" s="4"/>
      <c r="S43" s="4">
        <v>46224.5</v>
      </c>
      <c r="T43" s="5" t="s">
        <v>153</v>
      </c>
    </row>
    <row r="44" spans="1:20" ht="27.75" customHeight="1">
      <c r="A44" s="3" t="s">
        <v>154</v>
      </c>
      <c r="B44" s="4">
        <v>46216.5</v>
      </c>
      <c r="C44" s="5" t="s">
        <v>264</v>
      </c>
      <c r="D44" s="3" t="s">
        <v>269</v>
      </c>
      <c r="E44" s="6">
        <v>1</v>
      </c>
      <c r="F44" s="7">
        <v>1199</v>
      </c>
      <c r="G44" s="7">
        <v>0</v>
      </c>
      <c r="H44" s="7">
        <v>0</v>
      </c>
      <c r="I44" s="7">
        <v>1199</v>
      </c>
      <c r="J44" s="3" t="s">
        <v>24</v>
      </c>
      <c r="K44" s="3" t="s">
        <v>114</v>
      </c>
      <c r="L44" s="3" t="s">
        <v>115</v>
      </c>
      <c r="M44" s="3" t="s">
        <v>45</v>
      </c>
      <c r="N44" s="3"/>
      <c r="O44" s="4"/>
      <c r="P44" s="3" t="s">
        <v>46</v>
      </c>
      <c r="Q44" s="4"/>
      <c r="R44" s="4"/>
      <c r="S44" s="4"/>
      <c r="T44" s="5" t="s">
        <v>47</v>
      </c>
    </row>
    <row r="45" spans="1:20" ht="27.75" customHeight="1">
      <c r="A45" s="3" t="s">
        <v>155</v>
      </c>
      <c r="B45" s="4">
        <v>46216.5</v>
      </c>
      <c r="C45" s="5" t="s">
        <v>266</v>
      </c>
      <c r="D45" s="3" t="s">
        <v>273</v>
      </c>
      <c r="E45" s="6">
        <v>1</v>
      </c>
      <c r="F45" s="7">
        <v>1299</v>
      </c>
      <c r="G45" s="7">
        <v>150</v>
      </c>
      <c r="H45" s="7">
        <v>0</v>
      </c>
      <c r="I45" s="7">
        <v>1149</v>
      </c>
      <c r="J45" s="3" t="s">
        <v>24</v>
      </c>
      <c r="K45" s="3" t="s">
        <v>85</v>
      </c>
      <c r="L45" s="3" t="s">
        <v>86</v>
      </c>
      <c r="M45" s="3" t="s">
        <v>59</v>
      </c>
      <c r="N45" s="3" t="s">
        <v>156</v>
      </c>
      <c r="O45" s="4">
        <v>46217.5</v>
      </c>
      <c r="P45" s="3" t="s">
        <v>93</v>
      </c>
      <c r="Q45" s="4">
        <v>46218.5</v>
      </c>
      <c r="R45" s="4">
        <v>46218.5</v>
      </c>
      <c r="S45" s="4"/>
      <c r="T45" s="5"/>
    </row>
    <row r="46" spans="1:20" ht="27.75" customHeight="1">
      <c r="A46" s="3" t="s">
        <v>157</v>
      </c>
      <c r="B46" s="4">
        <v>46216.5</v>
      </c>
      <c r="C46" s="5" t="s">
        <v>265</v>
      </c>
      <c r="D46" s="3" t="s">
        <v>272</v>
      </c>
      <c r="E46" s="6">
        <v>1</v>
      </c>
      <c r="F46" s="7">
        <v>1299</v>
      </c>
      <c r="G46" s="7">
        <v>200</v>
      </c>
      <c r="H46" s="7">
        <v>0</v>
      </c>
      <c r="I46" s="7">
        <v>1099</v>
      </c>
      <c r="J46" s="3" t="s">
        <v>24</v>
      </c>
      <c r="K46" s="3" t="s">
        <v>125</v>
      </c>
      <c r="L46" s="3" t="s">
        <v>126</v>
      </c>
      <c r="M46" s="3" t="s">
        <v>27</v>
      </c>
      <c r="N46" s="3" t="s">
        <v>158</v>
      </c>
      <c r="O46" s="4">
        <v>46217.5</v>
      </c>
      <c r="P46" s="3" t="s">
        <v>54</v>
      </c>
      <c r="Q46" s="4">
        <v>46217.5</v>
      </c>
      <c r="R46" s="4"/>
      <c r="S46" s="4"/>
      <c r="T46" s="5" t="s">
        <v>55</v>
      </c>
    </row>
    <row r="47" spans="1:20" ht="27.75" customHeight="1">
      <c r="A47" s="3" t="s">
        <v>159</v>
      </c>
      <c r="B47" s="4">
        <v>46216.5</v>
      </c>
      <c r="C47" s="5" t="s">
        <v>263</v>
      </c>
      <c r="D47" s="3" t="s">
        <v>270</v>
      </c>
      <c r="E47" s="6">
        <v>1</v>
      </c>
      <c r="F47" s="7">
        <v>1499</v>
      </c>
      <c r="G47" s="7">
        <v>150</v>
      </c>
      <c r="H47" s="7">
        <v>0</v>
      </c>
      <c r="I47" s="7">
        <v>1349</v>
      </c>
      <c r="J47" s="3" t="s">
        <v>24</v>
      </c>
      <c r="K47" s="3" t="s">
        <v>70</v>
      </c>
      <c r="L47" s="3" t="s">
        <v>71</v>
      </c>
      <c r="M47" s="3" t="s">
        <v>40</v>
      </c>
      <c r="N47" s="3" t="s">
        <v>160</v>
      </c>
      <c r="O47" s="4">
        <v>46217.5</v>
      </c>
      <c r="P47" s="3" t="s">
        <v>54</v>
      </c>
      <c r="Q47" s="4">
        <v>46219.5</v>
      </c>
      <c r="R47" s="4"/>
      <c r="S47" s="4"/>
      <c r="T47" s="5"/>
    </row>
    <row r="48" spans="1:20" ht="27.75" customHeight="1">
      <c r="A48" s="3" t="s">
        <v>161</v>
      </c>
      <c r="B48" s="4">
        <v>46216.5</v>
      </c>
      <c r="C48" s="5" t="s">
        <v>267</v>
      </c>
      <c r="D48" s="3" t="s">
        <v>274</v>
      </c>
      <c r="E48" s="6">
        <v>1</v>
      </c>
      <c r="F48" s="7">
        <v>999</v>
      </c>
      <c r="G48" s="7">
        <v>200</v>
      </c>
      <c r="H48" s="7">
        <v>49</v>
      </c>
      <c r="I48" s="7">
        <v>848</v>
      </c>
      <c r="J48" s="3" t="s">
        <v>44</v>
      </c>
      <c r="K48" s="3" t="s">
        <v>122</v>
      </c>
      <c r="L48" s="3" t="s">
        <v>96</v>
      </c>
      <c r="M48" s="3" t="s">
        <v>45</v>
      </c>
      <c r="N48" s="3" t="s">
        <v>162</v>
      </c>
      <c r="O48" s="4">
        <v>46217.5</v>
      </c>
      <c r="P48" s="3" t="s">
        <v>149</v>
      </c>
      <c r="Q48" s="4">
        <v>46224.5</v>
      </c>
      <c r="R48" s="4"/>
      <c r="S48" s="4">
        <v>46224.5</v>
      </c>
      <c r="T48" s="5" t="s">
        <v>163</v>
      </c>
    </row>
    <row r="49" spans="1:20" ht="27.75" customHeight="1">
      <c r="A49" s="3" t="s">
        <v>164</v>
      </c>
      <c r="B49" s="4">
        <v>46214.5</v>
      </c>
      <c r="C49" s="5" t="s">
        <v>267</v>
      </c>
      <c r="D49" s="3" t="s">
        <v>274</v>
      </c>
      <c r="E49" s="6">
        <v>2</v>
      </c>
      <c r="F49" s="7">
        <v>999</v>
      </c>
      <c r="G49" s="7">
        <v>200</v>
      </c>
      <c r="H49" s="7">
        <v>0</v>
      </c>
      <c r="I49" s="7">
        <v>1798</v>
      </c>
      <c r="J49" s="3" t="s">
        <v>44</v>
      </c>
      <c r="K49" s="3" t="s">
        <v>91</v>
      </c>
      <c r="L49" s="3" t="s">
        <v>91</v>
      </c>
      <c r="M49" s="3" t="s">
        <v>40</v>
      </c>
      <c r="N49" s="3" t="s">
        <v>165</v>
      </c>
      <c r="O49" s="4">
        <v>46216.5</v>
      </c>
      <c r="P49" s="3" t="s">
        <v>93</v>
      </c>
      <c r="Q49" s="4">
        <v>46218.5</v>
      </c>
      <c r="R49" s="4">
        <v>46218.5</v>
      </c>
      <c r="S49" s="4"/>
      <c r="T49" s="5"/>
    </row>
    <row r="50" spans="1:20" ht="27.75" customHeight="1">
      <c r="A50" s="3" t="s">
        <v>166</v>
      </c>
      <c r="B50" s="4">
        <v>46214.5</v>
      </c>
      <c r="C50" s="5" t="s">
        <v>268</v>
      </c>
      <c r="D50" s="3" t="s">
        <v>271</v>
      </c>
      <c r="E50" s="6">
        <v>1</v>
      </c>
      <c r="F50" s="7">
        <v>999</v>
      </c>
      <c r="G50" s="7">
        <v>0</v>
      </c>
      <c r="H50" s="7">
        <v>0</v>
      </c>
      <c r="I50" s="7">
        <v>999</v>
      </c>
      <c r="J50" s="3" t="s">
        <v>24</v>
      </c>
      <c r="K50" s="3" t="s">
        <v>25</v>
      </c>
      <c r="L50" s="3" t="s">
        <v>26</v>
      </c>
      <c r="M50" s="3" t="s">
        <v>45</v>
      </c>
      <c r="N50" s="3" t="s">
        <v>167</v>
      </c>
      <c r="O50" s="4">
        <v>46215.5</v>
      </c>
      <c r="P50" s="3" t="s">
        <v>93</v>
      </c>
      <c r="Q50" s="4">
        <v>46220.5</v>
      </c>
      <c r="R50" s="4"/>
      <c r="S50" s="4"/>
      <c r="T50" s="5" t="s">
        <v>168</v>
      </c>
    </row>
    <row r="51" spans="1:20" ht="27.75" customHeight="1">
      <c r="A51" s="3" t="s">
        <v>169</v>
      </c>
      <c r="B51" s="4">
        <v>46214.5</v>
      </c>
      <c r="C51" s="5" t="s">
        <v>268</v>
      </c>
      <c r="D51" s="3" t="s">
        <v>271</v>
      </c>
      <c r="E51" s="6">
        <v>1</v>
      </c>
      <c r="F51" s="7">
        <v>999</v>
      </c>
      <c r="G51" s="7">
        <v>0</v>
      </c>
      <c r="H51" s="7">
        <v>49</v>
      </c>
      <c r="I51" s="7">
        <v>1048</v>
      </c>
      <c r="J51" s="3" t="s">
        <v>44</v>
      </c>
      <c r="K51" s="3" t="s">
        <v>32</v>
      </c>
      <c r="L51" s="3" t="s">
        <v>33</v>
      </c>
      <c r="M51" s="3" t="s">
        <v>45</v>
      </c>
      <c r="N51" s="3" t="s">
        <v>170</v>
      </c>
      <c r="O51" s="4">
        <v>46215.5</v>
      </c>
      <c r="P51" s="3" t="s">
        <v>93</v>
      </c>
      <c r="Q51" s="4">
        <v>46216.5</v>
      </c>
      <c r="R51" s="4">
        <v>46216.5</v>
      </c>
      <c r="S51" s="4"/>
      <c r="T51" s="5"/>
    </row>
    <row r="52" spans="1:20" ht="27.75" customHeight="1">
      <c r="A52" s="3" t="s">
        <v>171</v>
      </c>
      <c r="B52" s="4">
        <v>46213.5</v>
      </c>
      <c r="C52" s="5" t="s">
        <v>267</v>
      </c>
      <c r="D52" s="3" t="s">
        <v>274</v>
      </c>
      <c r="E52" s="6">
        <v>2</v>
      </c>
      <c r="F52" s="7">
        <v>999</v>
      </c>
      <c r="G52" s="7">
        <v>200</v>
      </c>
      <c r="H52" s="7">
        <v>0</v>
      </c>
      <c r="I52" s="7">
        <v>1798</v>
      </c>
      <c r="J52" s="3" t="s">
        <v>24</v>
      </c>
      <c r="K52" s="3" t="s">
        <v>172</v>
      </c>
      <c r="L52" s="3" t="s">
        <v>52</v>
      </c>
      <c r="M52" s="3" t="s">
        <v>45</v>
      </c>
      <c r="N52" s="3" t="s">
        <v>173</v>
      </c>
      <c r="O52" s="4">
        <v>46214.5</v>
      </c>
      <c r="P52" s="3" t="s">
        <v>93</v>
      </c>
      <c r="Q52" s="4">
        <v>46215.5</v>
      </c>
      <c r="R52" s="4">
        <v>46215.5</v>
      </c>
      <c r="S52" s="4"/>
      <c r="T52" s="5"/>
    </row>
    <row r="53" spans="1:20" ht="27.75" customHeight="1">
      <c r="A53" s="3" t="s">
        <v>174</v>
      </c>
      <c r="B53" s="4">
        <v>46213.5</v>
      </c>
      <c r="C53" s="5" t="s">
        <v>263</v>
      </c>
      <c r="D53" s="3" t="s">
        <v>270</v>
      </c>
      <c r="E53" s="6">
        <v>1</v>
      </c>
      <c r="F53" s="7">
        <v>1499</v>
      </c>
      <c r="G53" s="7">
        <v>200</v>
      </c>
      <c r="H53" s="7">
        <v>49</v>
      </c>
      <c r="I53" s="7">
        <v>1348</v>
      </c>
      <c r="J53" s="3" t="s">
        <v>44</v>
      </c>
      <c r="K53" s="3" t="s">
        <v>114</v>
      </c>
      <c r="L53" s="3" t="s">
        <v>115</v>
      </c>
      <c r="M53" s="3" t="s">
        <v>59</v>
      </c>
      <c r="N53" s="3" t="s">
        <v>175</v>
      </c>
      <c r="O53" s="4">
        <v>46214.5</v>
      </c>
      <c r="P53" s="3" t="s">
        <v>176</v>
      </c>
      <c r="Q53" s="4">
        <v>46223.5</v>
      </c>
      <c r="R53" s="4">
        <v>46217.5</v>
      </c>
      <c r="S53" s="4">
        <v>46223.5</v>
      </c>
      <c r="T53" s="5" t="s">
        <v>177</v>
      </c>
    </row>
    <row r="54" spans="1:20" ht="27.75" customHeight="1">
      <c r="A54" s="3" t="s">
        <v>178</v>
      </c>
      <c r="B54" s="4">
        <v>46212.5</v>
      </c>
      <c r="C54" s="5" t="s">
        <v>263</v>
      </c>
      <c r="D54" s="3" t="s">
        <v>270</v>
      </c>
      <c r="E54" s="6">
        <v>1</v>
      </c>
      <c r="F54" s="7">
        <v>1499</v>
      </c>
      <c r="G54" s="7">
        <v>150</v>
      </c>
      <c r="H54" s="7">
        <v>0</v>
      </c>
      <c r="I54" s="7">
        <v>1349</v>
      </c>
      <c r="J54" s="3" t="s">
        <v>24</v>
      </c>
      <c r="K54" s="3" t="s">
        <v>63</v>
      </c>
      <c r="L54" s="3" t="s">
        <v>26</v>
      </c>
      <c r="M54" s="3" t="s">
        <v>27</v>
      </c>
      <c r="N54" s="3" t="s">
        <v>179</v>
      </c>
      <c r="O54" s="4">
        <v>46214.5</v>
      </c>
      <c r="P54" s="3" t="s">
        <v>93</v>
      </c>
      <c r="Q54" s="4">
        <v>46219.5</v>
      </c>
      <c r="R54" s="4">
        <v>46219.5</v>
      </c>
      <c r="S54" s="4"/>
      <c r="T54" s="5"/>
    </row>
    <row r="55" spans="1:20" ht="27.75" customHeight="1">
      <c r="A55" s="3" t="s">
        <v>180</v>
      </c>
      <c r="B55" s="4">
        <v>46212.5</v>
      </c>
      <c r="C55" s="5" t="s">
        <v>268</v>
      </c>
      <c r="D55" s="3" t="s">
        <v>271</v>
      </c>
      <c r="E55" s="6">
        <v>2</v>
      </c>
      <c r="F55" s="7">
        <v>999</v>
      </c>
      <c r="G55" s="7">
        <v>150</v>
      </c>
      <c r="H55" s="7">
        <v>0</v>
      </c>
      <c r="I55" s="7">
        <v>1848</v>
      </c>
      <c r="J55" s="3" t="s">
        <v>44</v>
      </c>
      <c r="K55" s="3" t="s">
        <v>51</v>
      </c>
      <c r="L55" s="3" t="s">
        <v>52</v>
      </c>
      <c r="M55" s="3" t="s">
        <v>59</v>
      </c>
      <c r="N55" s="3" t="s">
        <v>181</v>
      </c>
      <c r="O55" s="4">
        <v>46213.5</v>
      </c>
      <c r="P55" s="3" t="s">
        <v>149</v>
      </c>
      <c r="Q55" s="4">
        <v>46220.5</v>
      </c>
      <c r="R55" s="4"/>
      <c r="S55" s="4">
        <v>46220.5</v>
      </c>
      <c r="T55" s="5" t="s">
        <v>182</v>
      </c>
    </row>
    <row r="56" spans="1:20" ht="27.75" customHeight="1">
      <c r="A56" s="3" t="s">
        <v>183</v>
      </c>
      <c r="B56" s="4">
        <v>46212.5</v>
      </c>
      <c r="C56" s="5" t="s">
        <v>264</v>
      </c>
      <c r="D56" s="3" t="s">
        <v>269</v>
      </c>
      <c r="E56" s="6">
        <v>1</v>
      </c>
      <c r="F56" s="7">
        <v>1199</v>
      </c>
      <c r="G56" s="7">
        <v>0</v>
      </c>
      <c r="H56" s="7">
        <v>49</v>
      </c>
      <c r="I56" s="7">
        <v>1248</v>
      </c>
      <c r="J56" s="3" t="s">
        <v>44</v>
      </c>
      <c r="K56" s="3" t="s">
        <v>114</v>
      </c>
      <c r="L56" s="3" t="s">
        <v>115</v>
      </c>
      <c r="M56" s="3" t="s">
        <v>45</v>
      </c>
      <c r="N56" s="3" t="s">
        <v>184</v>
      </c>
      <c r="O56" s="4">
        <v>46213.5</v>
      </c>
      <c r="P56" s="3" t="s">
        <v>149</v>
      </c>
      <c r="Q56" s="4">
        <v>46222.5</v>
      </c>
      <c r="R56" s="4"/>
      <c r="S56" s="4"/>
      <c r="T56" s="5" t="s">
        <v>185</v>
      </c>
    </row>
    <row r="57" spans="1:20" ht="27.75" customHeight="1">
      <c r="A57" s="3" t="s">
        <v>186</v>
      </c>
      <c r="B57" s="4">
        <v>46210.5</v>
      </c>
      <c r="C57" s="5" t="s">
        <v>264</v>
      </c>
      <c r="D57" s="3" t="s">
        <v>269</v>
      </c>
      <c r="E57" s="6">
        <v>1</v>
      </c>
      <c r="F57" s="7">
        <v>1199</v>
      </c>
      <c r="G57" s="7">
        <v>0</v>
      </c>
      <c r="H57" s="7">
        <v>49</v>
      </c>
      <c r="I57" s="7">
        <v>1248</v>
      </c>
      <c r="J57" s="3" t="s">
        <v>44</v>
      </c>
      <c r="K57" s="3" t="s">
        <v>85</v>
      </c>
      <c r="L57" s="3" t="s">
        <v>86</v>
      </c>
      <c r="M57" s="3" t="s">
        <v>45</v>
      </c>
      <c r="N57" s="3"/>
      <c r="O57" s="4"/>
      <c r="P57" s="3" t="s">
        <v>46</v>
      </c>
      <c r="Q57" s="4"/>
      <c r="R57" s="4"/>
      <c r="S57" s="4"/>
      <c r="T57" s="5" t="s">
        <v>187</v>
      </c>
    </row>
    <row r="58" spans="1:20" ht="27.75" customHeight="1">
      <c r="A58" s="3" t="s">
        <v>188</v>
      </c>
      <c r="B58" s="4">
        <v>46210.5</v>
      </c>
      <c r="C58" s="5" t="s">
        <v>264</v>
      </c>
      <c r="D58" s="3" t="s">
        <v>269</v>
      </c>
      <c r="E58" s="6">
        <v>1</v>
      </c>
      <c r="F58" s="7">
        <v>1199</v>
      </c>
      <c r="G58" s="7">
        <v>200</v>
      </c>
      <c r="H58" s="7">
        <v>0</v>
      </c>
      <c r="I58" s="7">
        <v>999</v>
      </c>
      <c r="J58" s="3" t="s">
        <v>24</v>
      </c>
      <c r="K58" s="3" t="s">
        <v>91</v>
      </c>
      <c r="L58" s="3" t="s">
        <v>91</v>
      </c>
      <c r="M58" s="3" t="s">
        <v>45</v>
      </c>
      <c r="N58" s="3" t="s">
        <v>189</v>
      </c>
      <c r="O58" s="4">
        <v>46211.5</v>
      </c>
      <c r="P58" s="3" t="s">
        <v>93</v>
      </c>
      <c r="Q58" s="4">
        <v>46213.5</v>
      </c>
      <c r="R58" s="4">
        <v>46213.5</v>
      </c>
      <c r="S58" s="4"/>
      <c r="T58" s="5"/>
    </row>
    <row r="59" spans="1:20" ht="27.75" customHeight="1">
      <c r="A59" s="3" t="s">
        <v>190</v>
      </c>
      <c r="B59" s="4">
        <v>46210.5</v>
      </c>
      <c r="C59" s="5" t="s">
        <v>268</v>
      </c>
      <c r="D59" s="3" t="s">
        <v>271</v>
      </c>
      <c r="E59" s="6">
        <v>1</v>
      </c>
      <c r="F59" s="7">
        <v>999</v>
      </c>
      <c r="G59" s="7">
        <v>0</v>
      </c>
      <c r="H59" s="7">
        <v>0</v>
      </c>
      <c r="I59" s="7">
        <v>999</v>
      </c>
      <c r="J59" s="3" t="s">
        <v>24</v>
      </c>
      <c r="K59" s="3" t="s">
        <v>38</v>
      </c>
      <c r="L59" s="3" t="s">
        <v>39</v>
      </c>
      <c r="M59" s="3" t="s">
        <v>27</v>
      </c>
      <c r="N59" s="3" t="s">
        <v>191</v>
      </c>
      <c r="O59" s="4">
        <v>46211.5</v>
      </c>
      <c r="P59" s="3" t="s">
        <v>93</v>
      </c>
      <c r="Q59" s="4">
        <v>46212.5</v>
      </c>
      <c r="R59" s="4">
        <v>46212.5</v>
      </c>
      <c r="S59" s="4"/>
      <c r="T59" s="5"/>
    </row>
    <row r="60" spans="1:20" ht="27.75" customHeight="1">
      <c r="A60" s="3" t="s">
        <v>192</v>
      </c>
      <c r="B60" s="4">
        <v>46210.5</v>
      </c>
      <c r="C60" s="5" t="s">
        <v>266</v>
      </c>
      <c r="D60" s="3" t="s">
        <v>273</v>
      </c>
      <c r="E60" s="6">
        <v>1</v>
      </c>
      <c r="F60" s="7">
        <v>1299</v>
      </c>
      <c r="G60" s="7">
        <v>0</v>
      </c>
      <c r="H60" s="7">
        <v>49</v>
      </c>
      <c r="I60" s="7">
        <v>1348</v>
      </c>
      <c r="J60" s="3" t="s">
        <v>44</v>
      </c>
      <c r="K60" s="3" t="s">
        <v>95</v>
      </c>
      <c r="L60" s="3" t="s">
        <v>96</v>
      </c>
      <c r="M60" s="3" t="s">
        <v>40</v>
      </c>
      <c r="N60" s="3" t="s">
        <v>193</v>
      </c>
      <c r="O60" s="4">
        <v>46211.5</v>
      </c>
      <c r="P60" s="3" t="s">
        <v>93</v>
      </c>
      <c r="Q60" s="4">
        <v>46214.5</v>
      </c>
      <c r="R60" s="4">
        <v>46214.5</v>
      </c>
      <c r="S60" s="4"/>
      <c r="T60" s="5"/>
    </row>
    <row r="61" spans="1:20" ht="27.75" customHeight="1">
      <c r="A61" s="3" t="s">
        <v>194</v>
      </c>
      <c r="B61" s="4">
        <v>46209.5</v>
      </c>
      <c r="C61" s="5" t="s">
        <v>267</v>
      </c>
      <c r="D61" s="3" t="s">
        <v>274</v>
      </c>
      <c r="E61" s="6">
        <v>1</v>
      </c>
      <c r="F61" s="7">
        <v>999</v>
      </c>
      <c r="G61" s="7">
        <v>0</v>
      </c>
      <c r="H61" s="7">
        <v>0</v>
      </c>
      <c r="I61" s="7">
        <v>999</v>
      </c>
      <c r="J61" s="3" t="s">
        <v>24</v>
      </c>
      <c r="K61" s="3" t="s">
        <v>99</v>
      </c>
      <c r="L61" s="3" t="s">
        <v>100</v>
      </c>
      <c r="M61" s="3" t="s">
        <v>45</v>
      </c>
      <c r="N61" s="3" t="s">
        <v>195</v>
      </c>
      <c r="O61" s="4">
        <v>46211.5</v>
      </c>
      <c r="P61" s="3" t="s">
        <v>93</v>
      </c>
      <c r="Q61" s="4">
        <v>46213.5</v>
      </c>
      <c r="R61" s="4">
        <v>46213.5</v>
      </c>
      <c r="S61" s="4"/>
      <c r="T61" s="5"/>
    </row>
    <row r="62" spans="1:20" ht="27.75" customHeight="1">
      <c r="A62" s="3" t="s">
        <v>196</v>
      </c>
      <c r="B62" s="4">
        <v>46209.5</v>
      </c>
      <c r="C62" s="5" t="s">
        <v>263</v>
      </c>
      <c r="D62" s="3" t="s">
        <v>270</v>
      </c>
      <c r="E62" s="6">
        <v>1</v>
      </c>
      <c r="F62" s="7">
        <v>1499</v>
      </c>
      <c r="G62" s="7">
        <v>200</v>
      </c>
      <c r="H62" s="7">
        <v>0</v>
      </c>
      <c r="I62" s="7">
        <v>1299</v>
      </c>
      <c r="J62" s="3" t="s">
        <v>24</v>
      </c>
      <c r="K62" s="3" t="s">
        <v>122</v>
      </c>
      <c r="L62" s="3" t="s">
        <v>96</v>
      </c>
      <c r="M62" s="3" t="s">
        <v>27</v>
      </c>
      <c r="N62" s="3" t="s">
        <v>197</v>
      </c>
      <c r="O62" s="4">
        <v>46210.5</v>
      </c>
      <c r="P62" s="3" t="s">
        <v>93</v>
      </c>
      <c r="Q62" s="4">
        <v>46214.5</v>
      </c>
      <c r="R62" s="4">
        <v>46214.5</v>
      </c>
      <c r="S62" s="4"/>
      <c r="T62" s="5"/>
    </row>
    <row r="63" spans="1:20" ht="27.75" customHeight="1">
      <c r="A63" s="3" t="s">
        <v>198</v>
      </c>
      <c r="B63" s="4">
        <v>46209.5</v>
      </c>
      <c r="C63" s="5" t="s">
        <v>263</v>
      </c>
      <c r="D63" s="3" t="s">
        <v>270</v>
      </c>
      <c r="E63" s="6">
        <v>1</v>
      </c>
      <c r="F63" s="7">
        <v>1499</v>
      </c>
      <c r="G63" s="7">
        <v>0</v>
      </c>
      <c r="H63" s="7">
        <v>0</v>
      </c>
      <c r="I63" s="7">
        <v>1499</v>
      </c>
      <c r="J63" s="3" t="s">
        <v>24</v>
      </c>
      <c r="K63" s="3" t="s">
        <v>91</v>
      </c>
      <c r="L63" s="3" t="s">
        <v>91</v>
      </c>
      <c r="M63" s="3" t="s">
        <v>59</v>
      </c>
      <c r="N63" s="3" t="s">
        <v>199</v>
      </c>
      <c r="O63" s="4">
        <v>46210.5</v>
      </c>
      <c r="P63" s="3" t="s">
        <v>176</v>
      </c>
      <c r="Q63" s="4">
        <v>46219.5</v>
      </c>
      <c r="R63" s="4">
        <v>46213.5</v>
      </c>
      <c r="S63" s="4">
        <v>46219.5</v>
      </c>
      <c r="T63" s="5" t="s">
        <v>177</v>
      </c>
    </row>
    <row r="64" spans="1:20" ht="27.75" customHeight="1">
      <c r="A64" s="3" t="s">
        <v>200</v>
      </c>
      <c r="B64" s="4">
        <v>46208.5</v>
      </c>
      <c r="C64" s="5" t="s">
        <v>263</v>
      </c>
      <c r="D64" s="3" t="s">
        <v>270</v>
      </c>
      <c r="E64" s="6">
        <v>2</v>
      </c>
      <c r="F64" s="7">
        <v>1499</v>
      </c>
      <c r="G64" s="7">
        <v>0</v>
      </c>
      <c r="H64" s="7">
        <v>0</v>
      </c>
      <c r="I64" s="7">
        <v>2998</v>
      </c>
      <c r="J64" s="3" t="s">
        <v>24</v>
      </c>
      <c r="K64" s="3" t="s">
        <v>66</v>
      </c>
      <c r="L64" s="3" t="s">
        <v>67</v>
      </c>
      <c r="M64" s="3" t="s">
        <v>27</v>
      </c>
      <c r="N64" s="3" t="s">
        <v>201</v>
      </c>
      <c r="O64" s="4">
        <v>46210.5</v>
      </c>
      <c r="P64" s="3" t="s">
        <v>93</v>
      </c>
      <c r="Q64" s="4">
        <v>46212.5</v>
      </c>
      <c r="R64" s="4">
        <v>46212.5</v>
      </c>
      <c r="S64" s="4"/>
      <c r="T64" s="5"/>
    </row>
    <row r="65" spans="1:20" ht="27.75" customHeight="1">
      <c r="A65" s="3" t="s">
        <v>202</v>
      </c>
      <c r="B65" s="4">
        <v>46208.5</v>
      </c>
      <c r="C65" s="5" t="s">
        <v>267</v>
      </c>
      <c r="D65" s="3" t="s">
        <v>274</v>
      </c>
      <c r="E65" s="6">
        <v>1</v>
      </c>
      <c r="F65" s="7">
        <v>999</v>
      </c>
      <c r="G65" s="7">
        <v>150</v>
      </c>
      <c r="H65" s="7">
        <v>0</v>
      </c>
      <c r="I65" s="7">
        <v>849</v>
      </c>
      <c r="J65" s="3" t="s">
        <v>24</v>
      </c>
      <c r="K65" s="3" t="s">
        <v>117</v>
      </c>
      <c r="L65" s="3" t="s">
        <v>96</v>
      </c>
      <c r="M65" s="3" t="s">
        <v>27</v>
      </c>
      <c r="N65" s="3" t="s">
        <v>203</v>
      </c>
      <c r="O65" s="4">
        <v>46210.5</v>
      </c>
      <c r="P65" s="3" t="s">
        <v>93</v>
      </c>
      <c r="Q65" s="4">
        <v>46214.5</v>
      </c>
      <c r="R65" s="4">
        <v>46214.5</v>
      </c>
      <c r="S65" s="4"/>
      <c r="T65" s="5"/>
    </row>
    <row r="66" spans="1:20" ht="27.75" customHeight="1">
      <c r="A66" s="3" t="s">
        <v>204</v>
      </c>
      <c r="B66" s="4">
        <v>46208.5</v>
      </c>
      <c r="C66" s="5" t="s">
        <v>268</v>
      </c>
      <c r="D66" s="3" t="s">
        <v>271</v>
      </c>
      <c r="E66" s="6">
        <v>1</v>
      </c>
      <c r="F66" s="7">
        <v>999</v>
      </c>
      <c r="G66" s="7">
        <v>0</v>
      </c>
      <c r="H66" s="7">
        <v>0</v>
      </c>
      <c r="I66" s="7">
        <v>999</v>
      </c>
      <c r="J66" s="3" t="s">
        <v>24</v>
      </c>
      <c r="K66" s="3" t="s">
        <v>95</v>
      </c>
      <c r="L66" s="3" t="s">
        <v>96</v>
      </c>
      <c r="M66" s="3" t="s">
        <v>40</v>
      </c>
      <c r="N66" s="3" t="s">
        <v>205</v>
      </c>
      <c r="O66" s="4">
        <v>46209.5</v>
      </c>
      <c r="P66" s="3" t="s">
        <v>176</v>
      </c>
      <c r="Q66" s="4">
        <v>46217.5</v>
      </c>
      <c r="R66" s="4">
        <v>46213.5</v>
      </c>
      <c r="S66" s="4">
        <v>46217.5</v>
      </c>
      <c r="T66" s="5" t="s">
        <v>206</v>
      </c>
    </row>
    <row r="67" spans="1:20" ht="27.75" customHeight="1">
      <c r="A67" s="3" t="s">
        <v>207</v>
      </c>
      <c r="B67" s="4">
        <v>46208.5</v>
      </c>
      <c r="C67" s="5" t="s">
        <v>265</v>
      </c>
      <c r="D67" s="3" t="s">
        <v>272</v>
      </c>
      <c r="E67" s="6">
        <v>1</v>
      </c>
      <c r="F67" s="7">
        <v>1299</v>
      </c>
      <c r="G67" s="7">
        <v>150</v>
      </c>
      <c r="H67" s="7">
        <v>0</v>
      </c>
      <c r="I67" s="7">
        <v>1149</v>
      </c>
      <c r="J67" s="3" t="s">
        <v>24</v>
      </c>
      <c r="K67" s="3" t="s">
        <v>117</v>
      </c>
      <c r="L67" s="3" t="s">
        <v>96</v>
      </c>
      <c r="M67" s="3" t="s">
        <v>59</v>
      </c>
      <c r="N67" s="3" t="s">
        <v>208</v>
      </c>
      <c r="O67" s="4">
        <v>46209.5</v>
      </c>
      <c r="P67" s="3" t="s">
        <v>149</v>
      </c>
      <c r="Q67" s="4">
        <v>46218.5</v>
      </c>
      <c r="R67" s="4"/>
      <c r="S67" s="4">
        <v>46218.5</v>
      </c>
      <c r="T67" s="5" t="s">
        <v>150</v>
      </c>
    </row>
    <row r="68" spans="1:20" ht="27.75" customHeight="1">
      <c r="A68" s="3" t="s">
        <v>209</v>
      </c>
      <c r="B68" s="4">
        <v>46206.5</v>
      </c>
      <c r="C68" s="5" t="s">
        <v>266</v>
      </c>
      <c r="D68" s="3" t="s">
        <v>273</v>
      </c>
      <c r="E68" s="6">
        <v>1</v>
      </c>
      <c r="F68" s="7">
        <v>1299</v>
      </c>
      <c r="G68" s="7">
        <v>0</v>
      </c>
      <c r="H68" s="7">
        <v>0</v>
      </c>
      <c r="I68" s="7">
        <v>1299</v>
      </c>
      <c r="J68" s="3" t="s">
        <v>24</v>
      </c>
      <c r="K68" s="3" t="s">
        <v>91</v>
      </c>
      <c r="L68" s="3" t="s">
        <v>91</v>
      </c>
      <c r="M68" s="3" t="s">
        <v>59</v>
      </c>
      <c r="N68" s="3" t="s">
        <v>210</v>
      </c>
      <c r="O68" s="4">
        <v>46207.5</v>
      </c>
      <c r="P68" s="3" t="s">
        <v>93</v>
      </c>
      <c r="Q68" s="4">
        <v>46209.5</v>
      </c>
      <c r="R68" s="4">
        <v>46209.5</v>
      </c>
      <c r="S68" s="4"/>
      <c r="T68" s="5"/>
    </row>
    <row r="69" spans="1:20" ht="27.75" customHeight="1">
      <c r="A69" s="3" t="s">
        <v>211</v>
      </c>
      <c r="B69" s="4">
        <v>46206.5</v>
      </c>
      <c r="C69" s="5" t="s">
        <v>265</v>
      </c>
      <c r="D69" s="3" t="s">
        <v>272</v>
      </c>
      <c r="E69" s="6">
        <v>1</v>
      </c>
      <c r="F69" s="7">
        <v>1299</v>
      </c>
      <c r="G69" s="7">
        <v>0</v>
      </c>
      <c r="H69" s="7">
        <v>49</v>
      </c>
      <c r="I69" s="7">
        <v>1348</v>
      </c>
      <c r="J69" s="3" t="s">
        <v>44</v>
      </c>
      <c r="K69" s="3" t="s">
        <v>38</v>
      </c>
      <c r="L69" s="3" t="s">
        <v>39</v>
      </c>
      <c r="M69" s="3" t="s">
        <v>27</v>
      </c>
      <c r="N69" s="3" t="s">
        <v>212</v>
      </c>
      <c r="O69" s="4">
        <v>46207.5</v>
      </c>
      <c r="P69" s="3" t="s">
        <v>176</v>
      </c>
      <c r="Q69" s="4">
        <v>46214.5</v>
      </c>
      <c r="R69" s="4">
        <v>46209.5</v>
      </c>
      <c r="S69" s="4">
        <v>46214.5</v>
      </c>
      <c r="T69" s="5" t="s">
        <v>213</v>
      </c>
    </row>
    <row r="70" spans="1:20" ht="27.75" customHeight="1">
      <c r="A70" s="3" t="s">
        <v>214</v>
      </c>
      <c r="B70" s="4">
        <v>46205.5</v>
      </c>
      <c r="C70" s="5" t="s">
        <v>268</v>
      </c>
      <c r="D70" s="3" t="s">
        <v>271</v>
      </c>
      <c r="E70" s="6">
        <v>1</v>
      </c>
      <c r="F70" s="7">
        <v>999</v>
      </c>
      <c r="G70" s="7">
        <v>0</v>
      </c>
      <c r="H70" s="7">
        <v>0</v>
      </c>
      <c r="I70" s="7">
        <v>999</v>
      </c>
      <c r="J70" s="3" t="s">
        <v>24</v>
      </c>
      <c r="K70" s="3" t="s">
        <v>125</v>
      </c>
      <c r="L70" s="3" t="s">
        <v>126</v>
      </c>
      <c r="M70" s="3" t="s">
        <v>45</v>
      </c>
      <c r="N70" s="3" t="s">
        <v>215</v>
      </c>
      <c r="O70" s="4">
        <v>46206.5</v>
      </c>
      <c r="P70" s="3" t="s">
        <v>93</v>
      </c>
      <c r="Q70" s="4">
        <v>46211.5</v>
      </c>
      <c r="R70" s="4">
        <v>46211.5</v>
      </c>
      <c r="S70" s="4"/>
      <c r="T70" s="5" t="s">
        <v>216</v>
      </c>
    </row>
    <row r="71" spans="1:20" ht="27.75" customHeight="1">
      <c r="A71" s="3" t="s">
        <v>217</v>
      </c>
      <c r="B71" s="4">
        <v>46205.5</v>
      </c>
      <c r="C71" s="5" t="s">
        <v>267</v>
      </c>
      <c r="D71" s="3" t="s">
        <v>274</v>
      </c>
      <c r="E71" s="6">
        <v>1</v>
      </c>
      <c r="F71" s="7">
        <v>999</v>
      </c>
      <c r="G71" s="7">
        <v>0</v>
      </c>
      <c r="H71" s="7">
        <v>0</v>
      </c>
      <c r="I71" s="7">
        <v>999</v>
      </c>
      <c r="J71" s="3" t="s">
        <v>24</v>
      </c>
      <c r="K71" s="3" t="s">
        <v>99</v>
      </c>
      <c r="L71" s="3" t="s">
        <v>100</v>
      </c>
      <c r="M71" s="3" t="s">
        <v>45</v>
      </c>
      <c r="N71" s="3" t="s">
        <v>218</v>
      </c>
      <c r="O71" s="4">
        <v>46206.5</v>
      </c>
      <c r="P71" s="3" t="s">
        <v>176</v>
      </c>
      <c r="Q71" s="4">
        <v>46213.5</v>
      </c>
      <c r="R71" s="4">
        <v>46210.5</v>
      </c>
      <c r="S71" s="4">
        <v>46213.5</v>
      </c>
      <c r="T71" s="5" t="s">
        <v>219</v>
      </c>
    </row>
    <row r="72" spans="1:20" ht="27.75" customHeight="1">
      <c r="A72" s="3" t="s">
        <v>220</v>
      </c>
      <c r="B72" s="4">
        <v>46204.5</v>
      </c>
      <c r="C72" s="5" t="s">
        <v>266</v>
      </c>
      <c r="D72" s="3" t="s">
        <v>273</v>
      </c>
      <c r="E72" s="6">
        <v>1</v>
      </c>
      <c r="F72" s="7">
        <v>1299</v>
      </c>
      <c r="G72" s="7">
        <v>0</v>
      </c>
      <c r="H72" s="7">
        <v>0</v>
      </c>
      <c r="I72" s="7">
        <v>1299</v>
      </c>
      <c r="J72" s="3" t="s">
        <v>24</v>
      </c>
      <c r="K72" s="3" t="s">
        <v>172</v>
      </c>
      <c r="L72" s="3" t="s">
        <v>52</v>
      </c>
      <c r="M72" s="3" t="s">
        <v>59</v>
      </c>
      <c r="N72" s="3" t="s">
        <v>221</v>
      </c>
      <c r="O72" s="4">
        <v>46205.5</v>
      </c>
      <c r="P72" s="3" t="s">
        <v>93</v>
      </c>
      <c r="Q72" s="4">
        <v>46210.5</v>
      </c>
      <c r="R72" s="4">
        <v>46210.5</v>
      </c>
      <c r="S72" s="4"/>
      <c r="T72" s="5"/>
    </row>
    <row r="73" spans="1:20" ht="27.75" customHeight="1">
      <c r="A73" s="3" t="s">
        <v>222</v>
      </c>
      <c r="B73" s="4">
        <v>46204.5</v>
      </c>
      <c r="C73" s="5" t="s">
        <v>263</v>
      </c>
      <c r="D73" s="3" t="s">
        <v>270</v>
      </c>
      <c r="E73" s="6">
        <v>2</v>
      </c>
      <c r="F73" s="7">
        <v>1499</v>
      </c>
      <c r="G73" s="7">
        <v>200</v>
      </c>
      <c r="H73" s="7">
        <v>0</v>
      </c>
      <c r="I73" s="7">
        <v>2798</v>
      </c>
      <c r="J73" s="3" t="s">
        <v>44</v>
      </c>
      <c r="K73" s="3" t="s">
        <v>172</v>
      </c>
      <c r="L73" s="3" t="s">
        <v>52</v>
      </c>
      <c r="M73" s="3" t="s">
        <v>59</v>
      </c>
      <c r="N73" s="3" t="s">
        <v>223</v>
      </c>
      <c r="O73" s="4">
        <v>46205.5</v>
      </c>
      <c r="P73" s="3" t="s">
        <v>149</v>
      </c>
      <c r="Q73" s="4">
        <v>46210.5</v>
      </c>
      <c r="R73" s="4"/>
      <c r="S73" s="4">
        <v>46210.5</v>
      </c>
      <c r="T73" s="5" t="s">
        <v>163</v>
      </c>
    </row>
    <row r="74" spans="1:20" ht="15.75" customHeight="1"/>
    <row r="75" spans="1:20" ht="15.75" customHeight="1"/>
    <row r="76" spans="1:20" ht="15.75" customHeight="1"/>
    <row r="77" spans="1:20" ht="15.75" customHeight="1"/>
    <row r="78" spans="1:20" ht="15.75" customHeight="1"/>
    <row r="79" spans="1:20" ht="15.75" customHeight="1"/>
    <row r="80" spans="1:2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T1"/>
  </mergeCell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779FF-F070-4D1E-971F-AD964661B864}">
  <dimension ref="A1:TE192"/>
  <sheetViews>
    <sheetView tabSelected="1" topLeftCell="A63" zoomScale="104" zoomScaleNormal="115" workbookViewId="0">
      <selection activeCell="F108" sqref="F108"/>
    </sheetView>
  </sheetViews>
  <sheetFormatPr defaultRowHeight="13.8"/>
  <cols>
    <col min="1" max="1" width="12.796875" bestFit="1" customWidth="1"/>
    <col min="2" max="2" width="18.09765625" customWidth="1"/>
    <col min="3" max="3" width="17.3984375" bestFit="1" customWidth="1"/>
    <col min="4" max="4" width="14.09765625" bestFit="1" customWidth="1"/>
    <col min="5" max="5" width="29.8984375" customWidth="1"/>
    <col min="6" max="6" width="12.3984375" bestFit="1" customWidth="1"/>
    <col min="7" max="7" width="13.796875" customWidth="1"/>
    <col min="8" max="14" width="12.3984375" bestFit="1" customWidth="1"/>
    <col min="15" max="16" width="13.5" customWidth="1"/>
    <col min="17" max="17" width="12.3984375" bestFit="1" customWidth="1"/>
    <col min="18" max="18" width="15.59765625" customWidth="1"/>
    <col min="19" max="19" width="17.69921875" bestFit="1" customWidth="1"/>
    <col min="20" max="20" width="47.8984375" bestFit="1" customWidth="1"/>
    <col min="21" max="21" width="15.69921875" customWidth="1"/>
    <col min="22" max="22" width="64.59765625" bestFit="1" customWidth="1"/>
    <col min="23" max="71" width="12.3984375" bestFit="1" customWidth="1"/>
    <col min="72" max="72" width="10.5" bestFit="1" customWidth="1"/>
  </cols>
  <sheetData>
    <row r="1" spans="1:525">
      <c r="A1" t="s">
        <v>1</v>
      </c>
      <c r="B1" t="s">
        <v>228</v>
      </c>
      <c r="C1" t="s">
        <v>3</v>
      </c>
      <c r="D1" t="s">
        <v>4</v>
      </c>
      <c r="E1" t="s">
        <v>5</v>
      </c>
      <c r="F1" t="s">
        <v>6</v>
      </c>
      <c r="G1" t="s">
        <v>7</v>
      </c>
      <c r="H1" t="s">
        <v>8</v>
      </c>
      <c r="I1" t="s">
        <v>9</v>
      </c>
      <c r="J1" t="s">
        <v>10</v>
      </c>
      <c r="K1" t="s">
        <v>11</v>
      </c>
      <c r="L1" t="s">
        <v>12</v>
      </c>
      <c r="M1" t="s">
        <v>13</v>
      </c>
      <c r="N1" t="s">
        <v>14</v>
      </c>
      <c r="O1" t="s">
        <v>229</v>
      </c>
      <c r="P1" t="s">
        <v>16</v>
      </c>
      <c r="Q1" t="s">
        <v>230</v>
      </c>
      <c r="R1" s="9" t="s">
        <v>18</v>
      </c>
      <c r="S1" t="s">
        <v>19</v>
      </c>
      <c r="T1" t="s">
        <v>20</v>
      </c>
      <c r="U1" t="s">
        <v>241</v>
      </c>
      <c r="V1" t="s">
        <v>242</v>
      </c>
    </row>
    <row r="2" spans="1:525">
      <c r="A2" t="s">
        <v>21</v>
      </c>
      <c r="B2" s="9">
        <v>46229</v>
      </c>
      <c r="C2" t="s">
        <v>22</v>
      </c>
      <c r="D2" t="s">
        <v>23</v>
      </c>
      <c r="E2">
        <v>1</v>
      </c>
      <c r="F2">
        <v>1199</v>
      </c>
      <c r="G2">
        <v>0</v>
      </c>
      <c r="H2">
        <v>0</v>
      </c>
      <c r="I2">
        <v>1199</v>
      </c>
      <c r="J2" t="s">
        <v>24</v>
      </c>
      <c r="K2" t="s">
        <v>25</v>
      </c>
      <c r="L2" t="s">
        <v>26</v>
      </c>
      <c r="M2" t="s">
        <v>27</v>
      </c>
      <c r="O2" s="9"/>
      <c r="P2" t="s">
        <v>28</v>
      </c>
      <c r="Q2" s="9"/>
      <c r="R2" s="9"/>
      <c r="S2" s="9"/>
      <c r="U2">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v>
      </c>
      <c r="V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3" spans="1:525">
      <c r="A3" t="s">
        <v>29</v>
      </c>
      <c r="B3" s="9">
        <v>46228</v>
      </c>
      <c r="C3" t="s">
        <v>30</v>
      </c>
      <c r="D3" t="s">
        <v>31</v>
      </c>
      <c r="E3">
        <v>1</v>
      </c>
      <c r="F3">
        <v>1499</v>
      </c>
      <c r="G3">
        <v>100</v>
      </c>
      <c r="H3">
        <v>0</v>
      </c>
      <c r="I3">
        <v>1399</v>
      </c>
      <c r="J3" t="s">
        <v>24</v>
      </c>
      <c r="K3" t="s">
        <v>32</v>
      </c>
      <c r="L3" t="s">
        <v>33</v>
      </c>
      <c r="M3" t="s">
        <v>27</v>
      </c>
      <c r="O3" s="9"/>
      <c r="P3" t="s">
        <v>28</v>
      </c>
      <c r="Q3" s="9"/>
      <c r="R3" s="9"/>
      <c r="S3" s="9"/>
      <c r="T3" t="s">
        <v>34</v>
      </c>
      <c r="U3">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2</v>
      </c>
      <c r="V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4" spans="1:525" s="19" customFormat="1">
      <c r="A4" s="19" t="s">
        <v>35</v>
      </c>
      <c r="B4" s="20">
        <v>46228</v>
      </c>
      <c r="C4" s="19" t="s">
        <v>36</v>
      </c>
      <c r="D4" s="19" t="s">
        <v>37</v>
      </c>
      <c r="E4" s="19">
        <v>1</v>
      </c>
      <c r="F4" s="19">
        <v>999</v>
      </c>
      <c r="G4" s="19">
        <v>0</v>
      </c>
      <c r="H4" s="19">
        <v>0</v>
      </c>
      <c r="I4" s="19">
        <v>999</v>
      </c>
      <c r="J4" s="19" t="s">
        <v>24</v>
      </c>
      <c r="K4" s="19" t="s">
        <v>38</v>
      </c>
      <c r="L4" s="19" t="s">
        <v>39</v>
      </c>
      <c r="M4" s="19" t="s">
        <v>40</v>
      </c>
      <c r="N4" s="19" t="s">
        <v>41</v>
      </c>
      <c r="O4" s="20"/>
      <c r="P4" s="19" t="s">
        <v>28</v>
      </c>
      <c r="Q4" s="20"/>
      <c r="R4" s="20"/>
      <c r="S4" s="20"/>
      <c r="T4" s="19" t="s">
        <v>42</v>
      </c>
      <c r="U4"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2</v>
      </c>
      <c r="V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5" spans="1:525">
      <c r="A5" t="s">
        <v>43</v>
      </c>
      <c r="B5" s="9">
        <v>46225</v>
      </c>
      <c r="C5" t="s">
        <v>30</v>
      </c>
      <c r="D5" t="s">
        <v>31</v>
      </c>
      <c r="E5">
        <v>2</v>
      </c>
      <c r="F5">
        <v>1499</v>
      </c>
      <c r="G5">
        <v>100</v>
      </c>
      <c r="H5">
        <v>0</v>
      </c>
      <c r="I5">
        <v>2898</v>
      </c>
      <c r="J5" t="s">
        <v>44</v>
      </c>
      <c r="K5" t="s">
        <v>32</v>
      </c>
      <c r="L5" t="s">
        <v>33</v>
      </c>
      <c r="M5" t="s">
        <v>45</v>
      </c>
      <c r="O5" s="9"/>
      <c r="P5" t="s">
        <v>46</v>
      </c>
      <c r="Q5" s="9"/>
      <c r="R5" s="9"/>
      <c r="S5" s="9"/>
      <c r="T5" t="s">
        <v>47</v>
      </c>
      <c r="U5">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5</v>
      </c>
      <c r="V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 spans="1:525" s="19" customFormat="1">
      <c r="A6" s="19" t="s">
        <v>48</v>
      </c>
      <c r="B6" s="20">
        <v>46225</v>
      </c>
      <c r="C6" s="19" t="s">
        <v>49</v>
      </c>
      <c r="D6" s="19" t="s">
        <v>50</v>
      </c>
      <c r="E6" s="19">
        <v>1</v>
      </c>
      <c r="F6" s="19">
        <v>1299</v>
      </c>
      <c r="G6" s="19">
        <v>0</v>
      </c>
      <c r="H6" s="19">
        <v>49</v>
      </c>
      <c r="I6" s="19">
        <v>1348</v>
      </c>
      <c r="J6" s="19" t="s">
        <v>44</v>
      </c>
      <c r="K6" s="19" t="s">
        <v>51</v>
      </c>
      <c r="L6" s="19" t="s">
        <v>52</v>
      </c>
      <c r="M6" s="19" t="s">
        <v>45</v>
      </c>
      <c r="N6" s="19" t="s">
        <v>53</v>
      </c>
      <c r="O6" s="20">
        <v>46226</v>
      </c>
      <c r="P6" s="19" t="s">
        <v>54</v>
      </c>
      <c r="Q6" s="20">
        <v>46226</v>
      </c>
      <c r="R6" s="20"/>
      <c r="S6" s="20"/>
      <c r="T6" s="19" t="s">
        <v>55</v>
      </c>
      <c r="U6"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5</v>
      </c>
      <c r="V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7" spans="1:525" s="19" customFormat="1">
      <c r="A7" s="19" t="s">
        <v>56</v>
      </c>
      <c r="B7" s="20">
        <v>46225</v>
      </c>
      <c r="C7" s="19" t="s">
        <v>57</v>
      </c>
      <c r="D7" s="19" t="s">
        <v>58</v>
      </c>
      <c r="E7" s="19">
        <v>2</v>
      </c>
      <c r="F7" s="19">
        <v>1299</v>
      </c>
      <c r="G7" s="19">
        <v>0</v>
      </c>
      <c r="H7" s="19">
        <v>0</v>
      </c>
      <c r="I7" s="19">
        <v>2598</v>
      </c>
      <c r="J7" s="19" t="s">
        <v>24</v>
      </c>
      <c r="K7" s="19" t="s">
        <v>25</v>
      </c>
      <c r="L7" s="19" t="s">
        <v>26</v>
      </c>
      <c r="M7" s="19" t="s">
        <v>59</v>
      </c>
      <c r="N7" s="19" t="s">
        <v>60</v>
      </c>
      <c r="O7" s="20">
        <v>46226</v>
      </c>
      <c r="P7" s="19" t="s">
        <v>61</v>
      </c>
      <c r="Q7" s="20">
        <v>46230</v>
      </c>
      <c r="R7" s="20"/>
      <c r="S7" s="20"/>
      <c r="U7"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5</v>
      </c>
      <c r="V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8" spans="1:525">
      <c r="A8" t="s">
        <v>62</v>
      </c>
      <c r="B8" s="9">
        <v>46225</v>
      </c>
      <c r="C8" t="s">
        <v>36</v>
      </c>
      <c r="D8" t="s">
        <v>37</v>
      </c>
      <c r="E8">
        <v>2</v>
      </c>
      <c r="F8">
        <v>999</v>
      </c>
      <c r="G8">
        <v>100</v>
      </c>
      <c r="H8">
        <v>0</v>
      </c>
      <c r="I8">
        <v>1898</v>
      </c>
      <c r="J8" t="s">
        <v>44</v>
      </c>
      <c r="K8" t="s">
        <v>63</v>
      </c>
      <c r="L8" t="s">
        <v>26</v>
      </c>
      <c r="M8" t="s">
        <v>45</v>
      </c>
      <c r="O8" s="9"/>
      <c r="P8" t="s">
        <v>28</v>
      </c>
      <c r="Q8" s="9"/>
      <c r="R8" s="9"/>
      <c r="S8" s="9"/>
      <c r="T8" t="s">
        <v>64</v>
      </c>
      <c r="U8">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5</v>
      </c>
      <c r="V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9" spans="1:525" s="19" customFormat="1">
      <c r="A9" s="19" t="s">
        <v>65</v>
      </c>
      <c r="B9" s="20">
        <v>46224</v>
      </c>
      <c r="C9" s="19" t="s">
        <v>36</v>
      </c>
      <c r="D9" s="19" t="s">
        <v>37</v>
      </c>
      <c r="E9" s="19">
        <v>1</v>
      </c>
      <c r="F9" s="19">
        <v>999</v>
      </c>
      <c r="G9" s="19">
        <v>0</v>
      </c>
      <c r="H9" s="19">
        <v>0</v>
      </c>
      <c r="I9" s="19">
        <v>999</v>
      </c>
      <c r="J9" s="19" t="s">
        <v>24</v>
      </c>
      <c r="K9" s="19" t="s">
        <v>66</v>
      </c>
      <c r="L9" s="19" t="s">
        <v>67</v>
      </c>
      <c r="M9" s="19" t="s">
        <v>59</v>
      </c>
      <c r="N9" s="19" t="s">
        <v>53</v>
      </c>
      <c r="O9" s="20">
        <v>46225</v>
      </c>
      <c r="P9" s="19" t="s">
        <v>54</v>
      </c>
      <c r="Q9" s="20"/>
      <c r="R9" s="20"/>
      <c r="S9" s="20"/>
      <c r="T9" s="19" t="s">
        <v>68</v>
      </c>
      <c r="U9"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6</v>
      </c>
      <c r="V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row>
    <row r="10" spans="1:525">
      <c r="A10" t="s">
        <v>69</v>
      </c>
      <c r="B10" s="9">
        <v>46224</v>
      </c>
      <c r="C10" t="s">
        <v>57</v>
      </c>
      <c r="D10" t="s">
        <v>58</v>
      </c>
      <c r="E10">
        <v>1</v>
      </c>
      <c r="F10">
        <v>1299</v>
      </c>
      <c r="G10">
        <v>200</v>
      </c>
      <c r="H10">
        <v>49</v>
      </c>
      <c r="I10">
        <v>1148</v>
      </c>
      <c r="J10" t="s">
        <v>44</v>
      </c>
      <c r="K10" t="s">
        <v>70</v>
      </c>
      <c r="L10" t="s">
        <v>71</v>
      </c>
      <c r="M10" t="s">
        <v>40</v>
      </c>
      <c r="N10" t="s">
        <v>72</v>
      </c>
      <c r="O10" s="9">
        <v>46225</v>
      </c>
      <c r="P10" t="s">
        <v>54</v>
      </c>
      <c r="Q10" s="9">
        <v>46228</v>
      </c>
      <c r="R10" s="9"/>
      <c r="S10" s="9"/>
      <c r="U10">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6</v>
      </c>
      <c r="V1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11" spans="1:525">
      <c r="A11" t="s">
        <v>73</v>
      </c>
      <c r="B11" s="9">
        <v>46224</v>
      </c>
      <c r="C11" t="s">
        <v>30</v>
      </c>
      <c r="D11" t="s">
        <v>31</v>
      </c>
      <c r="E11">
        <v>1</v>
      </c>
      <c r="F11">
        <v>1499</v>
      </c>
      <c r="G11">
        <v>0</v>
      </c>
      <c r="H11">
        <v>0</v>
      </c>
      <c r="I11">
        <v>1499</v>
      </c>
      <c r="J11" t="s">
        <v>44</v>
      </c>
      <c r="K11" t="s">
        <v>66</v>
      </c>
      <c r="L11" t="s">
        <v>67</v>
      </c>
      <c r="M11" t="s">
        <v>27</v>
      </c>
      <c r="O11" s="9"/>
      <c r="P11" t="s">
        <v>28</v>
      </c>
      <c r="Q11" s="9"/>
      <c r="R11" s="9"/>
      <c r="S11" s="9"/>
      <c r="T11" t="s">
        <v>34</v>
      </c>
      <c r="U11">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6</v>
      </c>
      <c r="V1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12" spans="1:525">
      <c r="A12" t="s">
        <v>74</v>
      </c>
      <c r="B12" s="9">
        <v>46223</v>
      </c>
      <c r="C12" t="s">
        <v>36</v>
      </c>
      <c r="D12" t="s">
        <v>37</v>
      </c>
      <c r="E12">
        <v>1</v>
      </c>
      <c r="F12">
        <v>999</v>
      </c>
      <c r="G12">
        <v>100</v>
      </c>
      <c r="H12">
        <v>0</v>
      </c>
      <c r="I12">
        <v>899</v>
      </c>
      <c r="J12" t="s">
        <v>24</v>
      </c>
      <c r="K12" t="s">
        <v>63</v>
      </c>
      <c r="L12" t="s">
        <v>26</v>
      </c>
      <c r="M12" t="s">
        <v>59</v>
      </c>
      <c r="N12" t="s">
        <v>75</v>
      </c>
      <c r="O12" s="9">
        <v>46224</v>
      </c>
      <c r="P12" t="s">
        <v>54</v>
      </c>
      <c r="Q12" s="9">
        <v>46226</v>
      </c>
      <c r="R12" s="9"/>
      <c r="S12" s="9"/>
      <c r="U12">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7</v>
      </c>
      <c r="V1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13" spans="1:525">
      <c r="A13" t="s">
        <v>76</v>
      </c>
      <c r="B13" s="9">
        <v>46223</v>
      </c>
      <c r="C13" t="s">
        <v>77</v>
      </c>
      <c r="D13" t="s">
        <v>78</v>
      </c>
      <c r="E13">
        <v>1</v>
      </c>
      <c r="F13">
        <v>999</v>
      </c>
      <c r="G13">
        <v>0</v>
      </c>
      <c r="H13">
        <v>0</v>
      </c>
      <c r="I13">
        <v>999</v>
      </c>
      <c r="J13" t="s">
        <v>24</v>
      </c>
      <c r="K13" t="s">
        <v>51</v>
      </c>
      <c r="L13" t="s">
        <v>52</v>
      </c>
      <c r="M13" t="s">
        <v>40</v>
      </c>
      <c r="N13" t="s">
        <v>79</v>
      </c>
      <c r="O13" s="9">
        <v>46224</v>
      </c>
      <c r="P13" t="s">
        <v>61</v>
      </c>
      <c r="Q13" s="9">
        <v>46227</v>
      </c>
      <c r="R13" s="9"/>
      <c r="S13" s="9"/>
      <c r="T13" t="s">
        <v>80</v>
      </c>
      <c r="U13">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7</v>
      </c>
      <c r="V1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14" spans="1:525">
      <c r="A14" t="s">
        <v>81</v>
      </c>
      <c r="B14" s="9">
        <v>46223</v>
      </c>
      <c r="C14" t="s">
        <v>77</v>
      </c>
      <c r="D14" t="s">
        <v>78</v>
      </c>
      <c r="E14">
        <v>1</v>
      </c>
      <c r="F14">
        <v>999</v>
      </c>
      <c r="G14">
        <v>200</v>
      </c>
      <c r="H14">
        <v>49</v>
      </c>
      <c r="I14">
        <v>848</v>
      </c>
      <c r="J14" t="s">
        <v>44</v>
      </c>
      <c r="K14" t="s">
        <v>82</v>
      </c>
      <c r="L14" t="s">
        <v>83</v>
      </c>
      <c r="M14" t="s">
        <v>40</v>
      </c>
      <c r="O14" s="9"/>
      <c r="P14" t="s">
        <v>28</v>
      </c>
      <c r="Q14" s="9"/>
      <c r="R14" s="9"/>
      <c r="S14" s="9"/>
      <c r="U14">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7</v>
      </c>
      <c r="V1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15" spans="1:525">
      <c r="A15" t="s">
        <v>84</v>
      </c>
      <c r="B15" s="9">
        <v>46223</v>
      </c>
      <c r="C15" t="s">
        <v>77</v>
      </c>
      <c r="D15" t="s">
        <v>78</v>
      </c>
      <c r="E15">
        <v>2</v>
      </c>
      <c r="F15">
        <v>999</v>
      </c>
      <c r="G15">
        <v>100</v>
      </c>
      <c r="H15">
        <v>0</v>
      </c>
      <c r="I15">
        <v>1898</v>
      </c>
      <c r="J15" t="s">
        <v>24</v>
      </c>
      <c r="K15" t="s">
        <v>85</v>
      </c>
      <c r="L15" t="s">
        <v>86</v>
      </c>
      <c r="M15" t="s">
        <v>59</v>
      </c>
      <c r="O15" s="9"/>
      <c r="P15" t="s">
        <v>28</v>
      </c>
      <c r="Q15" s="9"/>
      <c r="R15" s="9"/>
      <c r="S15" s="9"/>
      <c r="U15">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7</v>
      </c>
      <c r="V1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16" spans="1:525" s="19" customFormat="1">
      <c r="A16" s="19" t="s">
        <v>87</v>
      </c>
      <c r="B16" s="20">
        <v>46222</v>
      </c>
      <c r="C16" s="19" t="s">
        <v>77</v>
      </c>
      <c r="D16" s="19" t="s">
        <v>78</v>
      </c>
      <c r="E16" s="19">
        <v>1</v>
      </c>
      <c r="F16" s="19">
        <v>999</v>
      </c>
      <c r="G16" s="19">
        <v>100</v>
      </c>
      <c r="H16" s="19">
        <v>0</v>
      </c>
      <c r="I16" s="19">
        <v>899</v>
      </c>
      <c r="J16" s="19" t="s">
        <v>24</v>
      </c>
      <c r="K16" s="19" t="s">
        <v>63</v>
      </c>
      <c r="L16" s="19" t="s">
        <v>26</v>
      </c>
      <c r="M16" s="19" t="s">
        <v>45</v>
      </c>
      <c r="N16" s="19" t="s">
        <v>88</v>
      </c>
      <c r="O16" s="20">
        <v>46223</v>
      </c>
      <c r="P16" s="19" t="s">
        <v>54</v>
      </c>
      <c r="Q16" s="20">
        <v>46226</v>
      </c>
      <c r="R16" s="20"/>
      <c r="S16" s="20"/>
      <c r="U16"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1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c r="Y16" s="20"/>
    </row>
    <row r="17" spans="1:22">
      <c r="A17" s="19" t="s">
        <v>89</v>
      </c>
      <c r="B17" s="20">
        <v>46222</v>
      </c>
      <c r="C17" s="19" t="s">
        <v>30</v>
      </c>
      <c r="D17" s="19" t="s">
        <v>31</v>
      </c>
      <c r="E17" s="19">
        <v>1</v>
      </c>
      <c r="F17" s="19">
        <v>1499</v>
      </c>
      <c r="G17" s="19">
        <v>100</v>
      </c>
      <c r="H17" s="19">
        <v>0</v>
      </c>
      <c r="I17" s="19">
        <v>1399</v>
      </c>
      <c r="J17" s="19" t="s">
        <v>24</v>
      </c>
      <c r="K17" s="19" t="s">
        <v>25</v>
      </c>
      <c r="L17" s="19" t="s">
        <v>26</v>
      </c>
      <c r="M17" s="19" t="s">
        <v>45</v>
      </c>
      <c r="N17" s="19"/>
      <c r="O17" s="20"/>
      <c r="P17" s="19" t="s">
        <v>28</v>
      </c>
      <c r="Q17" s="20"/>
      <c r="R17" s="20"/>
      <c r="S17" s="20"/>
      <c r="T17" s="19" t="s">
        <v>34</v>
      </c>
      <c r="U17"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1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18" spans="1:22">
      <c r="A18" t="s">
        <v>90</v>
      </c>
      <c r="B18" s="9">
        <v>46221</v>
      </c>
      <c r="C18" t="s">
        <v>30</v>
      </c>
      <c r="D18" t="s">
        <v>31</v>
      </c>
      <c r="E18">
        <v>1</v>
      </c>
      <c r="F18">
        <v>1499</v>
      </c>
      <c r="G18">
        <v>150</v>
      </c>
      <c r="H18">
        <v>0</v>
      </c>
      <c r="I18">
        <v>1349</v>
      </c>
      <c r="J18" t="s">
        <v>24</v>
      </c>
      <c r="K18" t="s">
        <v>91</v>
      </c>
      <c r="L18" t="s">
        <v>91</v>
      </c>
      <c r="M18" t="s">
        <v>45</v>
      </c>
      <c r="N18" t="s">
        <v>92</v>
      </c>
      <c r="O18" s="9">
        <v>46222</v>
      </c>
      <c r="P18" t="s">
        <v>93</v>
      </c>
      <c r="Q18" s="9">
        <v>46227</v>
      </c>
      <c r="R18" s="9">
        <v>46227.5</v>
      </c>
      <c r="S18" s="9"/>
      <c r="U18">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1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19" spans="1:22">
      <c r="A19" t="s">
        <v>94</v>
      </c>
      <c r="B19" s="9">
        <v>46221</v>
      </c>
      <c r="C19" t="s">
        <v>22</v>
      </c>
      <c r="D19" t="s">
        <v>23</v>
      </c>
      <c r="E19">
        <v>1</v>
      </c>
      <c r="F19">
        <v>1199</v>
      </c>
      <c r="G19">
        <v>0</v>
      </c>
      <c r="H19">
        <v>0</v>
      </c>
      <c r="I19">
        <v>1199</v>
      </c>
      <c r="J19" t="s">
        <v>24</v>
      </c>
      <c r="K19" t="s">
        <v>95</v>
      </c>
      <c r="L19" t="s">
        <v>96</v>
      </c>
      <c r="M19" t="s">
        <v>45</v>
      </c>
      <c r="N19" t="s">
        <v>97</v>
      </c>
      <c r="O19" s="9">
        <v>46222</v>
      </c>
      <c r="P19" t="s">
        <v>93</v>
      </c>
      <c r="Q19" s="9">
        <v>46224</v>
      </c>
      <c r="R19" s="9">
        <v>46224.5</v>
      </c>
      <c r="S19" s="9"/>
      <c r="U19">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3</v>
      </c>
      <c r="V1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0" spans="1:22">
      <c r="A20" t="s">
        <v>98</v>
      </c>
      <c r="B20" s="9">
        <v>46221</v>
      </c>
      <c r="C20" t="s">
        <v>49</v>
      </c>
      <c r="D20" t="s">
        <v>50</v>
      </c>
      <c r="E20">
        <v>2</v>
      </c>
      <c r="F20">
        <v>1299</v>
      </c>
      <c r="G20">
        <v>0</v>
      </c>
      <c r="H20">
        <v>0</v>
      </c>
      <c r="I20">
        <v>2598</v>
      </c>
      <c r="J20" t="s">
        <v>44</v>
      </c>
      <c r="K20" t="s">
        <v>99</v>
      </c>
      <c r="L20" t="s">
        <v>100</v>
      </c>
      <c r="M20" t="s">
        <v>59</v>
      </c>
      <c r="N20" t="s">
        <v>101</v>
      </c>
      <c r="O20" s="9">
        <v>46222</v>
      </c>
      <c r="P20" t="s">
        <v>93</v>
      </c>
      <c r="Q20" s="9">
        <v>46227</v>
      </c>
      <c r="R20" s="9">
        <v>46227.5</v>
      </c>
      <c r="S20" s="9"/>
      <c r="U20">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2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1" spans="1:22">
      <c r="A21" t="s">
        <v>102</v>
      </c>
      <c r="B21" s="9">
        <v>46221</v>
      </c>
      <c r="C21" t="s">
        <v>57</v>
      </c>
      <c r="D21" t="s">
        <v>58</v>
      </c>
      <c r="E21">
        <v>1</v>
      </c>
      <c r="F21">
        <v>1299</v>
      </c>
      <c r="G21">
        <v>200</v>
      </c>
      <c r="H21">
        <v>0</v>
      </c>
      <c r="I21">
        <v>1099</v>
      </c>
      <c r="J21" t="s">
        <v>24</v>
      </c>
      <c r="K21" t="s">
        <v>95</v>
      </c>
      <c r="L21" t="s">
        <v>96</v>
      </c>
      <c r="M21" t="s">
        <v>45</v>
      </c>
      <c r="N21" t="s">
        <v>103</v>
      </c>
      <c r="O21" s="9">
        <v>46222</v>
      </c>
      <c r="P21" t="s">
        <v>93</v>
      </c>
      <c r="Q21" s="9">
        <v>46225</v>
      </c>
      <c r="R21" s="9">
        <v>46225.5</v>
      </c>
      <c r="S21" s="9"/>
      <c r="U21">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4</v>
      </c>
      <c r="V2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2" spans="1:22" s="19" customFormat="1">
      <c r="A22" s="19" t="s">
        <v>104</v>
      </c>
      <c r="B22" s="20">
        <v>46221</v>
      </c>
      <c r="C22" s="19" t="s">
        <v>57</v>
      </c>
      <c r="D22" s="19" t="s">
        <v>58</v>
      </c>
      <c r="E22" s="19">
        <v>1</v>
      </c>
      <c r="F22" s="19">
        <v>1299</v>
      </c>
      <c r="G22" s="19">
        <v>0</v>
      </c>
      <c r="H22" s="19">
        <v>49</v>
      </c>
      <c r="I22" s="19">
        <v>1348</v>
      </c>
      <c r="J22" s="19" t="s">
        <v>44</v>
      </c>
      <c r="K22" s="19" t="s">
        <v>82</v>
      </c>
      <c r="L22" s="19" t="s">
        <v>83</v>
      </c>
      <c r="M22" s="19" t="s">
        <v>27</v>
      </c>
      <c r="N22" s="19" t="s">
        <v>105</v>
      </c>
      <c r="O22" s="20">
        <v>46222</v>
      </c>
      <c r="P22" s="19" t="s">
        <v>61</v>
      </c>
      <c r="Q22" s="20">
        <v>46227</v>
      </c>
      <c r="R22" s="20"/>
      <c r="S22" s="20"/>
      <c r="T22" s="19" t="s">
        <v>106</v>
      </c>
      <c r="U22"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9</v>
      </c>
      <c r="V2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23" spans="1:22">
      <c r="A23" t="s">
        <v>107</v>
      </c>
      <c r="B23" s="9">
        <v>46221</v>
      </c>
      <c r="C23" t="s">
        <v>77</v>
      </c>
      <c r="D23" t="s">
        <v>78</v>
      </c>
      <c r="E23">
        <v>1</v>
      </c>
      <c r="F23">
        <v>999</v>
      </c>
      <c r="G23">
        <v>0</v>
      </c>
      <c r="H23">
        <v>0</v>
      </c>
      <c r="I23">
        <v>999</v>
      </c>
      <c r="J23" t="s">
        <v>24</v>
      </c>
      <c r="K23" t="s">
        <v>63</v>
      </c>
      <c r="L23" t="s">
        <v>26</v>
      </c>
      <c r="M23" t="s">
        <v>45</v>
      </c>
      <c r="N23" t="s">
        <v>108</v>
      </c>
      <c r="O23" s="9">
        <v>46222</v>
      </c>
      <c r="P23" t="s">
        <v>61</v>
      </c>
      <c r="Q23" s="9">
        <v>46230</v>
      </c>
      <c r="R23" s="9"/>
      <c r="S23" s="9"/>
      <c r="U23">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9</v>
      </c>
      <c r="V2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24" spans="1:22">
      <c r="A24" t="s">
        <v>109</v>
      </c>
      <c r="B24" s="9">
        <v>46220</v>
      </c>
      <c r="C24" t="s">
        <v>22</v>
      </c>
      <c r="D24" t="s">
        <v>23</v>
      </c>
      <c r="E24">
        <v>1</v>
      </c>
      <c r="F24">
        <v>1199</v>
      </c>
      <c r="G24">
        <v>0</v>
      </c>
      <c r="H24">
        <v>49</v>
      </c>
      <c r="I24">
        <v>1248</v>
      </c>
      <c r="J24" t="s">
        <v>44</v>
      </c>
      <c r="K24" t="s">
        <v>25</v>
      </c>
      <c r="L24" t="s">
        <v>26</v>
      </c>
      <c r="M24" t="s">
        <v>59</v>
      </c>
      <c r="N24" t="s">
        <v>110</v>
      </c>
      <c r="O24" s="9">
        <v>46221</v>
      </c>
      <c r="P24" t="s">
        <v>93</v>
      </c>
      <c r="Q24" s="9">
        <v>46223</v>
      </c>
      <c r="R24" s="9">
        <v>46223.5</v>
      </c>
      <c r="S24" s="9"/>
      <c r="U24">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3</v>
      </c>
      <c r="V2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5" spans="1:22">
      <c r="A25" s="19" t="s">
        <v>111</v>
      </c>
      <c r="B25" s="20">
        <v>46220</v>
      </c>
      <c r="C25" s="19" t="s">
        <v>22</v>
      </c>
      <c r="D25" s="19" t="s">
        <v>23</v>
      </c>
      <c r="E25" s="19">
        <v>1</v>
      </c>
      <c r="F25" s="19">
        <v>1199</v>
      </c>
      <c r="G25" s="19">
        <v>0</v>
      </c>
      <c r="H25" s="19">
        <v>0</v>
      </c>
      <c r="I25" s="19">
        <v>1199</v>
      </c>
      <c r="J25" s="19" t="s">
        <v>24</v>
      </c>
      <c r="K25" s="19" t="s">
        <v>25</v>
      </c>
      <c r="L25" s="19" t="s">
        <v>26</v>
      </c>
      <c r="M25" s="19" t="s">
        <v>27</v>
      </c>
      <c r="N25" s="19" t="s">
        <v>112</v>
      </c>
      <c r="O25" s="20">
        <v>46221</v>
      </c>
      <c r="P25" s="19" t="s">
        <v>54</v>
      </c>
      <c r="Q25" s="20">
        <v>46221</v>
      </c>
      <c r="R25" s="20"/>
      <c r="S25" s="20"/>
      <c r="T25" s="19" t="s">
        <v>55</v>
      </c>
      <c r="U25"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2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26" spans="1:22">
      <c r="A26" s="19" t="s">
        <v>113</v>
      </c>
      <c r="B26" s="20">
        <v>46220</v>
      </c>
      <c r="C26" s="19" t="s">
        <v>77</v>
      </c>
      <c r="D26" s="19" t="s">
        <v>78</v>
      </c>
      <c r="E26" s="19">
        <v>1</v>
      </c>
      <c r="F26" s="19">
        <v>999</v>
      </c>
      <c r="G26" s="19">
        <v>200</v>
      </c>
      <c r="H26" s="19">
        <v>0</v>
      </c>
      <c r="I26" s="19">
        <v>799</v>
      </c>
      <c r="J26" s="19" t="s">
        <v>24</v>
      </c>
      <c r="K26" s="19" t="s">
        <v>114</v>
      </c>
      <c r="L26" s="19" t="s">
        <v>115</v>
      </c>
      <c r="M26" s="19" t="s">
        <v>27</v>
      </c>
      <c r="N26" s="19"/>
      <c r="O26" s="20"/>
      <c r="P26" s="19" t="s">
        <v>28</v>
      </c>
      <c r="Q26" s="20"/>
      <c r="R26" s="20"/>
      <c r="S26" s="20"/>
      <c r="T26" s="19"/>
      <c r="U26"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2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Follow up on dispatch</v>
      </c>
    </row>
    <row r="27" spans="1:22">
      <c r="A27" t="s">
        <v>116</v>
      </c>
      <c r="B27" s="9">
        <v>46219</v>
      </c>
      <c r="C27" t="s">
        <v>49</v>
      </c>
      <c r="D27" t="s">
        <v>50</v>
      </c>
      <c r="E27">
        <v>1</v>
      </c>
      <c r="F27">
        <v>1299</v>
      </c>
      <c r="G27">
        <v>150</v>
      </c>
      <c r="H27">
        <v>0</v>
      </c>
      <c r="I27">
        <v>1149</v>
      </c>
      <c r="J27" t="s">
        <v>24</v>
      </c>
      <c r="K27" t="s">
        <v>117</v>
      </c>
      <c r="L27" t="s">
        <v>96</v>
      </c>
      <c r="M27" t="s">
        <v>45</v>
      </c>
      <c r="O27" s="9"/>
      <c r="P27" t="s">
        <v>46</v>
      </c>
      <c r="Q27" s="9"/>
      <c r="R27" s="9"/>
      <c r="S27" s="9"/>
      <c r="T27" t="s">
        <v>47</v>
      </c>
      <c r="U27">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11</v>
      </c>
      <c r="V2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8" spans="1:22" s="19" customFormat="1">
      <c r="A28" s="19" t="s">
        <v>118</v>
      </c>
      <c r="B28" s="20">
        <v>46219</v>
      </c>
      <c r="C28" s="19" t="s">
        <v>30</v>
      </c>
      <c r="D28" s="19" t="s">
        <v>31</v>
      </c>
      <c r="E28" s="19">
        <v>1</v>
      </c>
      <c r="F28" s="19">
        <v>1499</v>
      </c>
      <c r="G28" s="19">
        <v>150</v>
      </c>
      <c r="H28" s="19">
        <v>49</v>
      </c>
      <c r="I28" s="19">
        <v>1398</v>
      </c>
      <c r="J28" s="19" t="s">
        <v>44</v>
      </c>
      <c r="K28" s="19" t="s">
        <v>70</v>
      </c>
      <c r="L28" s="19" t="s">
        <v>71</v>
      </c>
      <c r="M28" s="19" t="s">
        <v>59</v>
      </c>
      <c r="N28" s="19" t="s">
        <v>119</v>
      </c>
      <c r="O28" s="20">
        <v>46220</v>
      </c>
      <c r="P28" s="19" t="s">
        <v>46</v>
      </c>
      <c r="Q28" s="20"/>
      <c r="R28" s="20"/>
      <c r="S28" s="20"/>
      <c r="T28" s="19" t="s">
        <v>120</v>
      </c>
      <c r="U28" s="19">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11</v>
      </c>
      <c r="V2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29" spans="1:22">
      <c r="A29" t="s">
        <v>121</v>
      </c>
      <c r="B29" s="9">
        <v>46219</v>
      </c>
      <c r="C29" t="s">
        <v>30</v>
      </c>
      <c r="D29" t="s">
        <v>31</v>
      </c>
      <c r="E29">
        <v>1</v>
      </c>
      <c r="F29">
        <v>1499</v>
      </c>
      <c r="G29">
        <v>0</v>
      </c>
      <c r="H29">
        <v>0</v>
      </c>
      <c r="I29">
        <v>1499</v>
      </c>
      <c r="J29" t="s">
        <v>24</v>
      </c>
      <c r="K29" t="s">
        <v>122</v>
      </c>
      <c r="L29" t="s">
        <v>96</v>
      </c>
      <c r="M29" t="s">
        <v>27</v>
      </c>
      <c r="N29" t="s">
        <v>123</v>
      </c>
      <c r="O29" s="9">
        <v>46220</v>
      </c>
      <c r="P29" t="s">
        <v>93</v>
      </c>
      <c r="Q29" s="9">
        <v>46225</v>
      </c>
      <c r="R29" s="9">
        <v>46225.5</v>
      </c>
      <c r="S29" s="9"/>
      <c r="U29">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2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0" spans="1:22">
      <c r="A30" t="s">
        <v>124</v>
      </c>
      <c r="B30" s="9">
        <v>46219</v>
      </c>
      <c r="C30" t="s">
        <v>22</v>
      </c>
      <c r="D30" t="s">
        <v>23</v>
      </c>
      <c r="E30">
        <v>1</v>
      </c>
      <c r="F30">
        <v>1199</v>
      </c>
      <c r="G30">
        <v>0</v>
      </c>
      <c r="H30">
        <v>0</v>
      </c>
      <c r="I30">
        <v>1199</v>
      </c>
      <c r="J30" t="s">
        <v>24</v>
      </c>
      <c r="K30" t="s">
        <v>125</v>
      </c>
      <c r="L30" t="s">
        <v>126</v>
      </c>
      <c r="M30" t="s">
        <v>27</v>
      </c>
      <c r="N30" t="s">
        <v>127</v>
      </c>
      <c r="O30" s="9">
        <v>46220</v>
      </c>
      <c r="P30" t="s">
        <v>93</v>
      </c>
      <c r="Q30" s="9">
        <v>46225</v>
      </c>
      <c r="R30" s="9">
        <v>46225.5</v>
      </c>
      <c r="S30" s="9"/>
      <c r="U30">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3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1" spans="1:22">
      <c r="A31" t="s">
        <v>128</v>
      </c>
      <c r="B31" s="9">
        <v>46219</v>
      </c>
      <c r="C31" t="s">
        <v>77</v>
      </c>
      <c r="D31" t="s">
        <v>78</v>
      </c>
      <c r="E31">
        <v>1</v>
      </c>
      <c r="F31">
        <v>999</v>
      </c>
      <c r="G31">
        <v>100</v>
      </c>
      <c r="H31">
        <v>0</v>
      </c>
      <c r="I31">
        <v>899</v>
      </c>
      <c r="J31" t="s">
        <v>24</v>
      </c>
      <c r="K31" t="s">
        <v>38</v>
      </c>
      <c r="L31" t="s">
        <v>39</v>
      </c>
      <c r="M31" t="s">
        <v>40</v>
      </c>
      <c r="N31" t="s">
        <v>129</v>
      </c>
      <c r="O31" s="9">
        <v>46220</v>
      </c>
      <c r="P31" t="s">
        <v>93</v>
      </c>
      <c r="Q31" s="9">
        <v>46221</v>
      </c>
      <c r="R31" s="9">
        <v>46221.5</v>
      </c>
      <c r="S31" s="9"/>
      <c r="U31">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3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2" spans="1:22">
      <c r="A32" t="s">
        <v>130</v>
      </c>
      <c r="B32" s="9">
        <v>46218</v>
      </c>
      <c r="C32" t="s">
        <v>36</v>
      </c>
      <c r="D32" t="s">
        <v>37</v>
      </c>
      <c r="E32">
        <v>1</v>
      </c>
      <c r="F32">
        <v>999</v>
      </c>
      <c r="G32">
        <v>0</v>
      </c>
      <c r="H32">
        <v>0</v>
      </c>
      <c r="I32">
        <v>999</v>
      </c>
      <c r="J32" t="s">
        <v>24</v>
      </c>
      <c r="K32" t="s">
        <v>38</v>
      </c>
      <c r="L32" t="s">
        <v>39</v>
      </c>
      <c r="M32" t="s">
        <v>45</v>
      </c>
      <c r="N32" t="s">
        <v>131</v>
      </c>
      <c r="O32" s="9">
        <v>46220</v>
      </c>
      <c r="P32" t="s">
        <v>93</v>
      </c>
      <c r="Q32" s="9">
        <v>46225</v>
      </c>
      <c r="R32" s="9">
        <v>46225.5</v>
      </c>
      <c r="S32" s="9"/>
      <c r="U32">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7</v>
      </c>
      <c r="V3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3" spans="1:22">
      <c r="A33" t="s">
        <v>132</v>
      </c>
      <c r="B33" s="9">
        <v>46218</v>
      </c>
      <c r="C33" t="s">
        <v>22</v>
      </c>
      <c r="D33" t="s">
        <v>23</v>
      </c>
      <c r="E33">
        <v>1</v>
      </c>
      <c r="F33">
        <v>1199</v>
      </c>
      <c r="G33">
        <v>150</v>
      </c>
      <c r="H33">
        <v>0</v>
      </c>
      <c r="I33">
        <v>1049</v>
      </c>
      <c r="J33" t="s">
        <v>24</v>
      </c>
      <c r="K33" t="s">
        <v>125</v>
      </c>
      <c r="L33" t="s">
        <v>126</v>
      </c>
      <c r="M33" t="s">
        <v>45</v>
      </c>
      <c r="N33" t="s">
        <v>133</v>
      </c>
      <c r="O33" s="9">
        <v>46219</v>
      </c>
      <c r="P33" t="s">
        <v>93</v>
      </c>
      <c r="Q33" s="9">
        <v>46220</v>
      </c>
      <c r="R33" s="9">
        <v>46220.5</v>
      </c>
      <c r="S33" s="9"/>
      <c r="U33">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3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4" spans="1:22">
      <c r="A34" t="s">
        <v>134</v>
      </c>
      <c r="B34" s="9">
        <v>46218</v>
      </c>
      <c r="C34" t="s">
        <v>22</v>
      </c>
      <c r="D34" t="s">
        <v>23</v>
      </c>
      <c r="E34">
        <v>2</v>
      </c>
      <c r="F34">
        <v>1199</v>
      </c>
      <c r="G34">
        <v>200</v>
      </c>
      <c r="H34">
        <v>0</v>
      </c>
      <c r="I34">
        <v>2198</v>
      </c>
      <c r="J34" t="s">
        <v>44</v>
      </c>
      <c r="K34" t="s">
        <v>38</v>
      </c>
      <c r="L34" t="s">
        <v>39</v>
      </c>
      <c r="M34" t="s">
        <v>40</v>
      </c>
      <c r="N34" t="s">
        <v>135</v>
      </c>
      <c r="O34" s="9">
        <v>46219</v>
      </c>
      <c r="P34" t="s">
        <v>54</v>
      </c>
      <c r="Q34" s="9">
        <v>46221</v>
      </c>
      <c r="R34" s="9"/>
      <c r="S34" s="9"/>
      <c r="U34">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12</v>
      </c>
      <c r="V3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35" spans="1:22" s="19" customFormat="1">
      <c r="A35" s="19" t="s">
        <v>136</v>
      </c>
      <c r="B35" s="20">
        <v>46218</v>
      </c>
      <c r="C35" s="19" t="s">
        <v>77</v>
      </c>
      <c r="D35" s="19" t="s">
        <v>78</v>
      </c>
      <c r="E35" s="19">
        <v>1</v>
      </c>
      <c r="F35" s="19">
        <v>999</v>
      </c>
      <c r="G35" s="19">
        <v>0</v>
      </c>
      <c r="H35" s="19">
        <v>0</v>
      </c>
      <c r="I35" s="19">
        <v>999</v>
      </c>
      <c r="J35" s="19" t="s">
        <v>24</v>
      </c>
      <c r="K35" s="19" t="s">
        <v>137</v>
      </c>
      <c r="L35" s="19" t="s">
        <v>71</v>
      </c>
      <c r="M35" s="19" t="s">
        <v>59</v>
      </c>
      <c r="N35" s="19" t="s">
        <v>138</v>
      </c>
      <c r="O35" s="20">
        <v>46219</v>
      </c>
      <c r="P35" s="19" t="s">
        <v>61</v>
      </c>
      <c r="Q35" s="20">
        <v>46230</v>
      </c>
      <c r="R35" s="20"/>
      <c r="S35" s="20"/>
      <c r="U35"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12</v>
      </c>
      <c r="V3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36" spans="1:22">
      <c r="A36" t="s">
        <v>139</v>
      </c>
      <c r="B36" s="9">
        <v>46217</v>
      </c>
      <c r="C36" t="s">
        <v>49</v>
      </c>
      <c r="D36" t="s">
        <v>50</v>
      </c>
      <c r="E36">
        <v>1</v>
      </c>
      <c r="F36">
        <v>1299</v>
      </c>
      <c r="G36">
        <v>200</v>
      </c>
      <c r="H36">
        <v>49</v>
      </c>
      <c r="I36">
        <v>1148</v>
      </c>
      <c r="J36" t="s">
        <v>44</v>
      </c>
      <c r="K36" t="s">
        <v>51</v>
      </c>
      <c r="L36" t="s">
        <v>52</v>
      </c>
      <c r="M36" t="s">
        <v>59</v>
      </c>
      <c r="N36" t="s">
        <v>140</v>
      </c>
      <c r="O36" s="9">
        <v>46218</v>
      </c>
      <c r="P36" t="s">
        <v>93</v>
      </c>
      <c r="Q36" s="9">
        <v>46222</v>
      </c>
      <c r="R36" s="9">
        <v>46222.5</v>
      </c>
      <c r="S36" s="9"/>
      <c r="U36">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5</v>
      </c>
      <c r="V3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7" spans="1:22">
      <c r="A37" t="s">
        <v>141</v>
      </c>
      <c r="B37" s="9">
        <v>46217</v>
      </c>
      <c r="C37" t="s">
        <v>77</v>
      </c>
      <c r="D37" t="s">
        <v>78</v>
      </c>
      <c r="E37">
        <v>1</v>
      </c>
      <c r="F37">
        <v>999</v>
      </c>
      <c r="G37">
        <v>100</v>
      </c>
      <c r="H37">
        <v>0</v>
      </c>
      <c r="I37">
        <v>899</v>
      </c>
      <c r="J37" t="s">
        <v>24</v>
      </c>
      <c r="K37" t="s">
        <v>91</v>
      </c>
      <c r="L37" t="s">
        <v>91</v>
      </c>
      <c r="M37" t="s">
        <v>27</v>
      </c>
      <c r="N37" t="s">
        <v>142</v>
      </c>
      <c r="O37" s="9">
        <v>46218</v>
      </c>
      <c r="P37" t="s">
        <v>93</v>
      </c>
      <c r="Q37" s="9">
        <v>46222</v>
      </c>
      <c r="R37" s="9">
        <v>46222.5</v>
      </c>
      <c r="S37" s="9"/>
      <c r="U37">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5</v>
      </c>
      <c r="V3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38" spans="1:22">
      <c r="A38" t="s">
        <v>143</v>
      </c>
      <c r="B38" s="9">
        <v>46217</v>
      </c>
      <c r="C38" t="s">
        <v>49</v>
      </c>
      <c r="D38" t="s">
        <v>50</v>
      </c>
      <c r="E38">
        <v>3</v>
      </c>
      <c r="F38">
        <v>1299</v>
      </c>
      <c r="G38">
        <v>0</v>
      </c>
      <c r="H38">
        <v>0</v>
      </c>
      <c r="I38">
        <v>3897</v>
      </c>
      <c r="J38" t="s">
        <v>24</v>
      </c>
      <c r="K38" t="s">
        <v>122</v>
      </c>
      <c r="L38" t="s">
        <v>96</v>
      </c>
      <c r="M38" t="s">
        <v>59</v>
      </c>
      <c r="N38" t="s">
        <v>144</v>
      </c>
      <c r="O38" s="9">
        <v>46218</v>
      </c>
      <c r="P38" t="s">
        <v>54</v>
      </c>
      <c r="Q38" s="9">
        <v>46218</v>
      </c>
      <c r="R38" s="9"/>
      <c r="S38" s="9"/>
      <c r="T38" t="s">
        <v>55</v>
      </c>
      <c r="U38">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13</v>
      </c>
      <c r="V3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39" spans="1:22">
      <c r="A39" t="s">
        <v>145</v>
      </c>
      <c r="B39" s="9">
        <v>46217</v>
      </c>
      <c r="C39" t="s">
        <v>36</v>
      </c>
      <c r="D39" t="s">
        <v>37</v>
      </c>
      <c r="E39">
        <v>1</v>
      </c>
      <c r="F39">
        <v>999</v>
      </c>
      <c r="G39">
        <v>150</v>
      </c>
      <c r="H39">
        <v>49</v>
      </c>
      <c r="I39">
        <v>898</v>
      </c>
      <c r="J39" t="s">
        <v>44</v>
      </c>
      <c r="K39" t="s">
        <v>32</v>
      </c>
      <c r="L39" t="s">
        <v>33</v>
      </c>
      <c r="M39" t="s">
        <v>59</v>
      </c>
      <c r="N39" t="s">
        <v>146</v>
      </c>
      <c r="O39" s="9">
        <v>46218</v>
      </c>
      <c r="P39" t="s">
        <v>61</v>
      </c>
      <c r="Q39" s="9">
        <v>46230</v>
      </c>
      <c r="R39" s="9"/>
      <c r="S39" s="9"/>
      <c r="U3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13</v>
      </c>
      <c r="V3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Confirm delivery attempt</v>
      </c>
    </row>
    <row r="40" spans="1:22" s="19" customFormat="1">
      <c r="A40" s="19" t="s">
        <v>147</v>
      </c>
      <c r="B40" s="20">
        <v>46217</v>
      </c>
      <c r="C40" s="19" t="s">
        <v>22</v>
      </c>
      <c r="D40" s="19" t="s">
        <v>23</v>
      </c>
      <c r="E40" s="19">
        <v>1</v>
      </c>
      <c r="F40" s="19">
        <v>1199</v>
      </c>
      <c r="G40" s="19">
        <v>200</v>
      </c>
      <c r="H40" s="19">
        <v>49</v>
      </c>
      <c r="I40" s="19">
        <v>1048</v>
      </c>
      <c r="J40" s="19" t="s">
        <v>44</v>
      </c>
      <c r="K40" s="19" t="s">
        <v>85</v>
      </c>
      <c r="L40" s="19" t="s">
        <v>86</v>
      </c>
      <c r="M40" s="19" t="s">
        <v>27</v>
      </c>
      <c r="N40" s="19" t="s">
        <v>148</v>
      </c>
      <c r="O40" s="20">
        <v>46218</v>
      </c>
      <c r="P40" s="19" t="s">
        <v>149</v>
      </c>
      <c r="Q40" s="20">
        <v>46227</v>
      </c>
      <c r="R40" s="20"/>
      <c r="S40" s="20">
        <v>46227.5</v>
      </c>
      <c r="T40" s="19" t="s">
        <v>150</v>
      </c>
      <c r="U40"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4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41" spans="1:22">
      <c r="A41" t="s">
        <v>151</v>
      </c>
      <c r="B41" s="9">
        <v>46217</v>
      </c>
      <c r="C41" t="s">
        <v>77</v>
      </c>
      <c r="D41" t="s">
        <v>78</v>
      </c>
      <c r="E41">
        <v>1</v>
      </c>
      <c r="F41">
        <v>999</v>
      </c>
      <c r="G41">
        <v>200</v>
      </c>
      <c r="H41">
        <v>0</v>
      </c>
      <c r="I41">
        <v>799</v>
      </c>
      <c r="J41" t="s">
        <v>24</v>
      </c>
      <c r="K41" t="s">
        <v>51</v>
      </c>
      <c r="L41" t="s">
        <v>52</v>
      </c>
      <c r="M41" t="s">
        <v>40</v>
      </c>
      <c r="N41" t="s">
        <v>152</v>
      </c>
      <c r="O41" s="9">
        <v>46218</v>
      </c>
      <c r="P41" t="s">
        <v>149</v>
      </c>
      <c r="Q41" s="9">
        <v>46224</v>
      </c>
      <c r="R41" s="9"/>
      <c r="S41" s="9">
        <v>46224.5</v>
      </c>
      <c r="T41" t="s">
        <v>153</v>
      </c>
      <c r="U41">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7</v>
      </c>
      <c r="V4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42" spans="1:22">
      <c r="A42" t="s">
        <v>154</v>
      </c>
      <c r="B42" s="9">
        <v>46216</v>
      </c>
      <c r="C42" t="s">
        <v>22</v>
      </c>
      <c r="D42" t="s">
        <v>23</v>
      </c>
      <c r="E42">
        <v>1</v>
      </c>
      <c r="F42">
        <v>1199</v>
      </c>
      <c r="G42">
        <v>0</v>
      </c>
      <c r="H42">
        <v>0</v>
      </c>
      <c r="I42">
        <v>1199</v>
      </c>
      <c r="J42" t="s">
        <v>24</v>
      </c>
      <c r="K42" t="s">
        <v>114</v>
      </c>
      <c r="L42" t="s">
        <v>115</v>
      </c>
      <c r="M42" t="s">
        <v>45</v>
      </c>
      <c r="O42" s="9"/>
      <c r="P42" t="s">
        <v>46</v>
      </c>
      <c r="Q42" s="9"/>
      <c r="R42" s="9"/>
      <c r="S42" s="9"/>
      <c r="T42" t="s">
        <v>47</v>
      </c>
      <c r="U42">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14</v>
      </c>
      <c r="V4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43" spans="1:22">
      <c r="A43" t="s">
        <v>155</v>
      </c>
      <c r="B43" s="9">
        <v>46216</v>
      </c>
      <c r="C43" t="s">
        <v>57</v>
      </c>
      <c r="D43" t="s">
        <v>58</v>
      </c>
      <c r="E43">
        <v>1</v>
      </c>
      <c r="F43">
        <v>1299</v>
      </c>
      <c r="G43">
        <v>150</v>
      </c>
      <c r="H43">
        <v>0</v>
      </c>
      <c r="I43">
        <v>1149</v>
      </c>
      <c r="J43" t="s">
        <v>24</v>
      </c>
      <c r="K43" t="s">
        <v>85</v>
      </c>
      <c r="L43" t="s">
        <v>86</v>
      </c>
      <c r="M43" t="s">
        <v>59</v>
      </c>
      <c r="N43" t="s">
        <v>156</v>
      </c>
      <c r="O43" s="9">
        <v>46217</v>
      </c>
      <c r="P43" t="s">
        <v>93</v>
      </c>
      <c r="Q43" s="9">
        <v>46218</v>
      </c>
      <c r="R43" s="9">
        <v>46218.5</v>
      </c>
      <c r="S43" s="9"/>
      <c r="U43">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4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44" spans="1:22">
      <c r="A44" s="19" t="s">
        <v>157</v>
      </c>
      <c r="B44" s="20">
        <v>46216</v>
      </c>
      <c r="C44" s="19" t="s">
        <v>49</v>
      </c>
      <c r="D44" s="19" t="s">
        <v>50</v>
      </c>
      <c r="E44" s="19">
        <v>1</v>
      </c>
      <c r="F44" s="19">
        <v>1299</v>
      </c>
      <c r="G44" s="19">
        <v>200</v>
      </c>
      <c r="H44" s="19">
        <v>0</v>
      </c>
      <c r="I44" s="19">
        <v>1099</v>
      </c>
      <c r="J44" s="19" t="s">
        <v>24</v>
      </c>
      <c r="K44" s="19" t="s">
        <v>125</v>
      </c>
      <c r="L44" s="19" t="s">
        <v>126</v>
      </c>
      <c r="M44" s="19" t="s">
        <v>27</v>
      </c>
      <c r="N44" s="19" t="s">
        <v>158</v>
      </c>
      <c r="O44" s="20">
        <v>46217</v>
      </c>
      <c r="P44" s="19" t="s">
        <v>54</v>
      </c>
      <c r="Q44" s="20">
        <v>46217</v>
      </c>
      <c r="R44" s="20"/>
      <c r="S44" s="20"/>
      <c r="T44" s="19" t="s">
        <v>55</v>
      </c>
      <c r="U44"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14</v>
      </c>
      <c r="V4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45" spans="1:22" s="19" customFormat="1">
      <c r="A45" s="19" t="s">
        <v>159</v>
      </c>
      <c r="B45" s="20">
        <v>46216</v>
      </c>
      <c r="C45" s="19" t="s">
        <v>30</v>
      </c>
      <c r="D45" s="19" t="s">
        <v>31</v>
      </c>
      <c r="E45" s="19">
        <v>1</v>
      </c>
      <c r="F45" s="19">
        <v>1499</v>
      </c>
      <c r="G45" s="19">
        <v>150</v>
      </c>
      <c r="H45" s="19">
        <v>0</v>
      </c>
      <c r="I45" s="19">
        <v>1349</v>
      </c>
      <c r="J45" s="19" t="s">
        <v>24</v>
      </c>
      <c r="K45" s="19" t="s">
        <v>70</v>
      </c>
      <c r="L45" s="19" t="s">
        <v>71</v>
      </c>
      <c r="M45" s="19" t="s">
        <v>40</v>
      </c>
      <c r="N45" s="19" t="s">
        <v>160</v>
      </c>
      <c r="O45" s="20">
        <v>46217</v>
      </c>
      <c r="P45" s="19" t="s">
        <v>54</v>
      </c>
      <c r="Q45" s="20">
        <v>46219</v>
      </c>
      <c r="R45" s="20"/>
      <c r="S45" s="20"/>
      <c r="U45"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14</v>
      </c>
      <c r="V4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Track with courier</v>
      </c>
    </row>
    <row r="46" spans="1:22">
      <c r="A46" t="s">
        <v>161</v>
      </c>
      <c r="B46" s="9">
        <v>46216</v>
      </c>
      <c r="C46" t="s">
        <v>77</v>
      </c>
      <c r="D46" t="s">
        <v>78</v>
      </c>
      <c r="E46">
        <v>1</v>
      </c>
      <c r="F46">
        <v>999</v>
      </c>
      <c r="G46">
        <v>200</v>
      </c>
      <c r="H46">
        <v>49</v>
      </c>
      <c r="I46">
        <v>848</v>
      </c>
      <c r="J46" t="s">
        <v>44</v>
      </c>
      <c r="K46" t="s">
        <v>122</v>
      </c>
      <c r="L46" t="s">
        <v>96</v>
      </c>
      <c r="M46" t="s">
        <v>45</v>
      </c>
      <c r="N46" t="s">
        <v>162</v>
      </c>
      <c r="O46" s="9">
        <v>46217</v>
      </c>
      <c r="P46" t="s">
        <v>149</v>
      </c>
      <c r="Q46" s="9">
        <v>46224</v>
      </c>
      <c r="R46" s="9"/>
      <c r="S46" s="9">
        <v>46224.5</v>
      </c>
      <c r="T46" t="s">
        <v>163</v>
      </c>
      <c r="U46">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4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47" spans="1:22">
      <c r="A47" t="s">
        <v>164</v>
      </c>
      <c r="B47" s="9">
        <v>46214</v>
      </c>
      <c r="C47" t="s">
        <v>77</v>
      </c>
      <c r="D47" t="s">
        <v>78</v>
      </c>
      <c r="E47">
        <v>2</v>
      </c>
      <c r="F47">
        <v>999</v>
      </c>
      <c r="G47">
        <v>200</v>
      </c>
      <c r="H47">
        <v>0</v>
      </c>
      <c r="I47">
        <v>1798</v>
      </c>
      <c r="J47" t="s">
        <v>44</v>
      </c>
      <c r="K47" t="s">
        <v>91</v>
      </c>
      <c r="L47" t="s">
        <v>91</v>
      </c>
      <c r="M47" t="s">
        <v>40</v>
      </c>
      <c r="N47" t="s">
        <v>165</v>
      </c>
      <c r="O47" s="9">
        <v>46216</v>
      </c>
      <c r="P47" t="s">
        <v>93</v>
      </c>
      <c r="Q47" s="9">
        <v>46218</v>
      </c>
      <c r="R47" s="9">
        <v>46218.5</v>
      </c>
      <c r="S47" s="9"/>
      <c r="U47">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4</v>
      </c>
      <c r="V4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48" spans="1:22">
      <c r="A48" t="s">
        <v>166</v>
      </c>
      <c r="B48" s="9">
        <v>46214</v>
      </c>
      <c r="C48" t="s">
        <v>36</v>
      </c>
      <c r="D48" t="s">
        <v>37</v>
      </c>
      <c r="E48">
        <v>1</v>
      </c>
      <c r="F48">
        <v>999</v>
      </c>
      <c r="G48">
        <v>0</v>
      </c>
      <c r="H48">
        <v>0</v>
      </c>
      <c r="I48">
        <v>999</v>
      </c>
      <c r="J48" t="s">
        <v>24</v>
      </c>
      <c r="K48" t="s">
        <v>25</v>
      </c>
      <c r="L48" t="s">
        <v>26</v>
      </c>
      <c r="M48" t="s">
        <v>45</v>
      </c>
      <c r="N48" t="s">
        <v>167</v>
      </c>
      <c r="O48" s="9">
        <v>46215</v>
      </c>
      <c r="P48" t="s">
        <v>93</v>
      </c>
      <c r="Q48" s="9">
        <v>46220</v>
      </c>
      <c r="R48" s="9"/>
      <c r="S48" s="9"/>
      <c r="T48" t="s">
        <v>168</v>
      </c>
      <c r="U48" t="str">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Not synced</v>
      </c>
      <c r="V4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Sync delivery date - Delivery confirmed by courier but delivery date not synced</v>
      </c>
    </row>
    <row r="49" spans="1:22">
      <c r="A49" t="s">
        <v>169</v>
      </c>
      <c r="B49" s="9">
        <v>46214</v>
      </c>
      <c r="C49" t="s">
        <v>36</v>
      </c>
      <c r="D49" t="s">
        <v>37</v>
      </c>
      <c r="E49">
        <v>1</v>
      </c>
      <c r="F49">
        <v>999</v>
      </c>
      <c r="G49">
        <v>0</v>
      </c>
      <c r="H49">
        <v>49</v>
      </c>
      <c r="I49">
        <v>1048</v>
      </c>
      <c r="J49" t="s">
        <v>44</v>
      </c>
      <c r="K49" t="s">
        <v>32</v>
      </c>
      <c r="L49" t="s">
        <v>33</v>
      </c>
      <c r="M49" t="s">
        <v>45</v>
      </c>
      <c r="N49" t="s">
        <v>170</v>
      </c>
      <c r="O49" s="9">
        <v>46215</v>
      </c>
      <c r="P49" t="s">
        <v>93</v>
      </c>
      <c r="Q49" s="9">
        <v>46216</v>
      </c>
      <c r="R49" s="9">
        <v>46216.5</v>
      </c>
      <c r="S49" s="9"/>
      <c r="U49">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4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0" spans="1:22">
      <c r="A50" t="s">
        <v>171</v>
      </c>
      <c r="B50" s="9">
        <v>46213</v>
      </c>
      <c r="C50" t="s">
        <v>77</v>
      </c>
      <c r="D50" t="s">
        <v>78</v>
      </c>
      <c r="E50">
        <v>2</v>
      </c>
      <c r="F50">
        <v>999</v>
      </c>
      <c r="G50">
        <v>200</v>
      </c>
      <c r="H50">
        <v>0</v>
      </c>
      <c r="I50">
        <v>1798</v>
      </c>
      <c r="J50" t="s">
        <v>24</v>
      </c>
      <c r="K50" t="s">
        <v>172</v>
      </c>
      <c r="L50" t="s">
        <v>52</v>
      </c>
      <c r="M50" t="s">
        <v>45</v>
      </c>
      <c r="N50" t="s">
        <v>173</v>
      </c>
      <c r="O50" s="9">
        <v>46214</v>
      </c>
      <c r="P50" t="s">
        <v>93</v>
      </c>
      <c r="Q50" s="9">
        <v>46215</v>
      </c>
      <c r="R50" s="9">
        <v>46215.5</v>
      </c>
      <c r="S50" s="9"/>
      <c r="U50">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5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1" spans="1:22">
      <c r="A51" t="s">
        <v>174</v>
      </c>
      <c r="B51" s="9">
        <v>46213</v>
      </c>
      <c r="C51" t="s">
        <v>30</v>
      </c>
      <c r="D51" t="s">
        <v>31</v>
      </c>
      <c r="E51">
        <v>1</v>
      </c>
      <c r="F51">
        <v>1499</v>
      </c>
      <c r="G51">
        <v>200</v>
      </c>
      <c r="H51">
        <v>49</v>
      </c>
      <c r="I51">
        <v>1348</v>
      </c>
      <c r="J51" t="s">
        <v>44</v>
      </c>
      <c r="K51" t="s">
        <v>114</v>
      </c>
      <c r="L51" t="s">
        <v>115</v>
      </c>
      <c r="M51" t="s">
        <v>59</v>
      </c>
      <c r="N51" t="s">
        <v>175</v>
      </c>
      <c r="O51" s="9">
        <v>46214</v>
      </c>
      <c r="P51" t="s">
        <v>149</v>
      </c>
      <c r="Q51" s="9">
        <v>46223</v>
      </c>
      <c r="R51" s="9">
        <v>46217.5</v>
      </c>
      <c r="S51" s="9">
        <v>46223.5</v>
      </c>
      <c r="T51" t="s">
        <v>177</v>
      </c>
      <c r="U51">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5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52" spans="1:22">
      <c r="A52" t="s">
        <v>178</v>
      </c>
      <c r="B52" s="9">
        <v>46212</v>
      </c>
      <c r="C52" t="s">
        <v>30</v>
      </c>
      <c r="D52" t="s">
        <v>31</v>
      </c>
      <c r="E52">
        <v>1</v>
      </c>
      <c r="F52">
        <v>1499</v>
      </c>
      <c r="G52">
        <v>150</v>
      </c>
      <c r="H52">
        <v>0</v>
      </c>
      <c r="I52">
        <v>1349</v>
      </c>
      <c r="J52" t="s">
        <v>24</v>
      </c>
      <c r="K52" t="s">
        <v>63</v>
      </c>
      <c r="L52" t="s">
        <v>26</v>
      </c>
      <c r="M52" t="s">
        <v>27</v>
      </c>
      <c r="N52" t="s">
        <v>179</v>
      </c>
      <c r="O52" s="9">
        <v>46214</v>
      </c>
      <c r="P52" t="s">
        <v>93</v>
      </c>
      <c r="Q52" s="9">
        <v>46219</v>
      </c>
      <c r="R52" s="9">
        <v>46219.5</v>
      </c>
      <c r="S52" s="9"/>
      <c r="U52">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7</v>
      </c>
      <c r="V5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3" spans="1:22">
      <c r="A53" s="19" t="s">
        <v>180</v>
      </c>
      <c r="B53" s="20">
        <v>46212</v>
      </c>
      <c r="C53" s="19" t="s">
        <v>36</v>
      </c>
      <c r="D53" s="19" t="s">
        <v>37</v>
      </c>
      <c r="E53" s="19">
        <v>2</v>
      </c>
      <c r="F53" s="19">
        <v>999</v>
      </c>
      <c r="G53" s="19">
        <v>150</v>
      </c>
      <c r="H53" s="19">
        <v>0</v>
      </c>
      <c r="I53" s="19">
        <v>1848</v>
      </c>
      <c r="J53" s="19" t="s">
        <v>44</v>
      </c>
      <c r="K53" s="19" t="s">
        <v>51</v>
      </c>
      <c r="L53" s="19" t="s">
        <v>52</v>
      </c>
      <c r="M53" s="19" t="s">
        <v>59</v>
      </c>
      <c r="N53" s="19" t="s">
        <v>181</v>
      </c>
      <c r="O53" s="20">
        <v>46213</v>
      </c>
      <c r="P53" s="19" t="s">
        <v>149</v>
      </c>
      <c r="Q53" s="20">
        <v>46220</v>
      </c>
      <c r="R53" s="20"/>
      <c r="S53" s="20">
        <v>46220.5</v>
      </c>
      <c r="T53" s="19" t="s">
        <v>182</v>
      </c>
      <c r="U53"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5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54" spans="1:22">
      <c r="A54" t="s">
        <v>183</v>
      </c>
      <c r="B54" s="9">
        <v>46212</v>
      </c>
      <c r="C54" t="s">
        <v>22</v>
      </c>
      <c r="D54" t="s">
        <v>23</v>
      </c>
      <c r="E54">
        <v>1</v>
      </c>
      <c r="F54">
        <v>1199</v>
      </c>
      <c r="G54">
        <v>0</v>
      </c>
      <c r="H54">
        <v>49</v>
      </c>
      <c r="I54">
        <v>1248</v>
      </c>
      <c r="J54" t="s">
        <v>44</v>
      </c>
      <c r="K54" t="s">
        <v>114</v>
      </c>
      <c r="L54" t="s">
        <v>115</v>
      </c>
      <c r="M54" t="s">
        <v>45</v>
      </c>
      <c r="N54" t="s">
        <v>184</v>
      </c>
      <c r="O54" s="9">
        <v>46213</v>
      </c>
      <c r="P54" t="s">
        <v>149</v>
      </c>
      <c r="Q54" s="9">
        <v>46222</v>
      </c>
      <c r="R54" s="9"/>
      <c r="S54" s="9"/>
      <c r="T54" t="s">
        <v>185</v>
      </c>
      <c r="U54" t="str">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Not synced</v>
      </c>
      <c r="V5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Sync return date - RTO confirmed but return date not synced</v>
      </c>
    </row>
    <row r="55" spans="1:22">
      <c r="A55" t="s">
        <v>186</v>
      </c>
      <c r="B55" s="9">
        <v>46210</v>
      </c>
      <c r="C55" t="s">
        <v>22</v>
      </c>
      <c r="D55" t="s">
        <v>23</v>
      </c>
      <c r="E55">
        <v>1</v>
      </c>
      <c r="F55">
        <v>1199</v>
      </c>
      <c r="G55">
        <v>0</v>
      </c>
      <c r="H55">
        <v>49</v>
      </c>
      <c r="I55">
        <v>1248</v>
      </c>
      <c r="J55" t="s">
        <v>44</v>
      </c>
      <c r="K55" t="s">
        <v>85</v>
      </c>
      <c r="L55" t="s">
        <v>86</v>
      </c>
      <c r="M55" t="s">
        <v>45</v>
      </c>
      <c r="O55" s="9"/>
      <c r="P55" t="s">
        <v>46</v>
      </c>
      <c r="Q55" s="9"/>
      <c r="R55" s="9"/>
      <c r="S55" s="9"/>
      <c r="T55" t="s">
        <v>187</v>
      </c>
      <c r="U55">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20</v>
      </c>
      <c r="V5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6" spans="1:22">
      <c r="A56" t="s">
        <v>188</v>
      </c>
      <c r="B56" s="9">
        <v>46210</v>
      </c>
      <c r="C56" t="s">
        <v>22</v>
      </c>
      <c r="D56" t="s">
        <v>23</v>
      </c>
      <c r="E56">
        <v>1</v>
      </c>
      <c r="F56">
        <v>1199</v>
      </c>
      <c r="G56">
        <v>200</v>
      </c>
      <c r="H56">
        <v>0</v>
      </c>
      <c r="I56">
        <v>999</v>
      </c>
      <c r="J56" t="s">
        <v>24</v>
      </c>
      <c r="K56" t="s">
        <v>91</v>
      </c>
      <c r="L56" t="s">
        <v>91</v>
      </c>
      <c r="M56" t="s">
        <v>45</v>
      </c>
      <c r="N56" t="s">
        <v>189</v>
      </c>
      <c r="O56" s="9">
        <v>46211</v>
      </c>
      <c r="P56" t="s">
        <v>93</v>
      </c>
      <c r="Q56" s="9">
        <v>46213</v>
      </c>
      <c r="R56" s="9">
        <v>46213.5</v>
      </c>
      <c r="S56" s="9"/>
      <c r="U56">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3</v>
      </c>
      <c r="V5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7" spans="1:22">
      <c r="A57" t="s">
        <v>190</v>
      </c>
      <c r="B57" s="9">
        <v>46210</v>
      </c>
      <c r="C57" t="s">
        <v>36</v>
      </c>
      <c r="D57" t="s">
        <v>37</v>
      </c>
      <c r="E57">
        <v>1</v>
      </c>
      <c r="F57">
        <v>999</v>
      </c>
      <c r="G57">
        <v>0</v>
      </c>
      <c r="H57">
        <v>0</v>
      </c>
      <c r="I57">
        <v>999</v>
      </c>
      <c r="J57" t="s">
        <v>24</v>
      </c>
      <c r="K57" t="s">
        <v>38</v>
      </c>
      <c r="L57" t="s">
        <v>39</v>
      </c>
      <c r="M57" t="s">
        <v>27</v>
      </c>
      <c r="N57" t="s">
        <v>191</v>
      </c>
      <c r="O57" s="9">
        <v>46211</v>
      </c>
      <c r="P57" t="s">
        <v>93</v>
      </c>
      <c r="Q57" s="9">
        <v>46212</v>
      </c>
      <c r="R57" s="9">
        <v>46212.5</v>
      </c>
      <c r="S57" s="9"/>
      <c r="U57">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2</v>
      </c>
      <c r="V5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8" spans="1:22">
      <c r="A58" t="s">
        <v>192</v>
      </c>
      <c r="B58" s="9">
        <v>46210</v>
      </c>
      <c r="C58" t="s">
        <v>57</v>
      </c>
      <c r="D58" t="s">
        <v>58</v>
      </c>
      <c r="E58">
        <v>1</v>
      </c>
      <c r="F58">
        <v>1299</v>
      </c>
      <c r="G58">
        <v>0</v>
      </c>
      <c r="H58">
        <v>49</v>
      </c>
      <c r="I58">
        <v>1348</v>
      </c>
      <c r="J58" t="s">
        <v>44</v>
      </c>
      <c r="K58" t="s">
        <v>95</v>
      </c>
      <c r="L58" t="s">
        <v>96</v>
      </c>
      <c r="M58" t="s">
        <v>40</v>
      </c>
      <c r="N58" t="s">
        <v>193</v>
      </c>
      <c r="O58" s="9">
        <v>46211</v>
      </c>
      <c r="P58" t="s">
        <v>93</v>
      </c>
      <c r="Q58" s="9">
        <v>46214</v>
      </c>
      <c r="R58" s="9">
        <v>46214.5</v>
      </c>
      <c r="S58" s="9"/>
      <c r="U58">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4</v>
      </c>
      <c r="V5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59" spans="1:22">
      <c r="A59" t="s">
        <v>194</v>
      </c>
      <c r="B59" s="9">
        <v>46209</v>
      </c>
      <c r="C59" t="s">
        <v>77</v>
      </c>
      <c r="D59" t="s">
        <v>78</v>
      </c>
      <c r="E59">
        <v>1</v>
      </c>
      <c r="F59">
        <v>999</v>
      </c>
      <c r="G59">
        <v>0</v>
      </c>
      <c r="H59">
        <v>0</v>
      </c>
      <c r="I59">
        <v>999</v>
      </c>
      <c r="J59" t="s">
        <v>24</v>
      </c>
      <c r="K59" t="s">
        <v>99</v>
      </c>
      <c r="L59" t="s">
        <v>100</v>
      </c>
      <c r="M59" t="s">
        <v>45</v>
      </c>
      <c r="N59" t="s">
        <v>195</v>
      </c>
      <c r="O59" s="9">
        <v>46211</v>
      </c>
      <c r="P59" t="s">
        <v>93</v>
      </c>
      <c r="Q59" s="9">
        <v>46213</v>
      </c>
      <c r="R59" s="9">
        <v>46213.5</v>
      </c>
      <c r="S59" s="9"/>
      <c r="U59">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4</v>
      </c>
      <c r="V5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0" spans="1:22">
      <c r="A60" t="s">
        <v>196</v>
      </c>
      <c r="B60" s="9">
        <v>46209</v>
      </c>
      <c r="C60" t="s">
        <v>30</v>
      </c>
      <c r="D60" t="s">
        <v>31</v>
      </c>
      <c r="E60">
        <v>1</v>
      </c>
      <c r="F60">
        <v>1499</v>
      </c>
      <c r="G60">
        <v>200</v>
      </c>
      <c r="H60">
        <v>0</v>
      </c>
      <c r="I60">
        <v>1299</v>
      </c>
      <c r="J60" t="s">
        <v>24</v>
      </c>
      <c r="K60" t="s">
        <v>122</v>
      </c>
      <c r="L60" t="s">
        <v>96</v>
      </c>
      <c r="M60" t="s">
        <v>27</v>
      </c>
      <c r="N60" t="s">
        <v>197</v>
      </c>
      <c r="O60" s="9">
        <v>46210</v>
      </c>
      <c r="P60" t="s">
        <v>93</v>
      </c>
      <c r="Q60" s="9">
        <v>46214</v>
      </c>
      <c r="R60" s="9">
        <v>46214.5</v>
      </c>
      <c r="S60" s="9"/>
      <c r="U60">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5</v>
      </c>
      <c r="V6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1" spans="1:22">
      <c r="A61" t="s">
        <v>198</v>
      </c>
      <c r="B61" s="9">
        <v>46209</v>
      </c>
      <c r="C61" t="s">
        <v>30</v>
      </c>
      <c r="D61" t="s">
        <v>31</v>
      </c>
      <c r="E61">
        <v>1</v>
      </c>
      <c r="F61">
        <v>1499</v>
      </c>
      <c r="G61">
        <v>0</v>
      </c>
      <c r="H61">
        <v>0</v>
      </c>
      <c r="I61">
        <v>1499</v>
      </c>
      <c r="J61" t="s">
        <v>24</v>
      </c>
      <c r="K61" t="s">
        <v>91</v>
      </c>
      <c r="L61" t="s">
        <v>91</v>
      </c>
      <c r="M61" t="s">
        <v>59</v>
      </c>
      <c r="N61" t="s">
        <v>199</v>
      </c>
      <c r="O61" s="9">
        <v>46210</v>
      </c>
      <c r="P61" t="s">
        <v>149</v>
      </c>
      <c r="Q61" s="9">
        <v>46219</v>
      </c>
      <c r="R61" s="9">
        <v>46213.5</v>
      </c>
      <c r="S61" s="9">
        <v>46219.5</v>
      </c>
      <c r="T61" t="s">
        <v>177</v>
      </c>
      <c r="U61">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6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62" spans="1:22">
      <c r="A62" t="s">
        <v>200</v>
      </c>
      <c r="B62" s="9">
        <v>46208</v>
      </c>
      <c r="C62" t="s">
        <v>30</v>
      </c>
      <c r="D62" t="s">
        <v>31</v>
      </c>
      <c r="E62">
        <v>2</v>
      </c>
      <c r="F62">
        <v>1499</v>
      </c>
      <c r="G62">
        <v>0</v>
      </c>
      <c r="H62">
        <v>0</v>
      </c>
      <c r="I62">
        <v>2998</v>
      </c>
      <c r="J62" t="s">
        <v>24</v>
      </c>
      <c r="K62" t="s">
        <v>66</v>
      </c>
      <c r="L62" t="s">
        <v>67</v>
      </c>
      <c r="M62" t="s">
        <v>27</v>
      </c>
      <c r="N62" t="s">
        <v>201</v>
      </c>
      <c r="O62" s="9">
        <v>46210</v>
      </c>
      <c r="P62" t="s">
        <v>93</v>
      </c>
      <c r="Q62" s="9">
        <v>46212</v>
      </c>
      <c r="R62" s="9">
        <v>46212.5</v>
      </c>
      <c r="S62" s="9"/>
      <c r="U62">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4</v>
      </c>
      <c r="V62"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3" spans="1:22">
      <c r="A63" t="s">
        <v>202</v>
      </c>
      <c r="B63" s="9">
        <v>46208</v>
      </c>
      <c r="C63" t="s">
        <v>77</v>
      </c>
      <c r="D63" t="s">
        <v>78</v>
      </c>
      <c r="E63">
        <v>1</v>
      </c>
      <c r="F63">
        <v>999</v>
      </c>
      <c r="G63">
        <v>150</v>
      </c>
      <c r="H63">
        <v>0</v>
      </c>
      <c r="I63">
        <v>849</v>
      </c>
      <c r="J63" t="s">
        <v>24</v>
      </c>
      <c r="K63" t="s">
        <v>117</v>
      </c>
      <c r="L63" t="s">
        <v>96</v>
      </c>
      <c r="M63" t="s">
        <v>27</v>
      </c>
      <c r="N63" t="s">
        <v>203</v>
      </c>
      <c r="O63" s="9">
        <v>46210</v>
      </c>
      <c r="P63" t="s">
        <v>93</v>
      </c>
      <c r="Q63" s="9">
        <v>46214</v>
      </c>
      <c r="R63" s="9">
        <v>46214.5</v>
      </c>
      <c r="S63" s="9"/>
      <c r="U63">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63"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4" spans="1:22">
      <c r="A64" t="s">
        <v>204</v>
      </c>
      <c r="B64" s="9">
        <v>46208</v>
      </c>
      <c r="C64" t="s">
        <v>36</v>
      </c>
      <c r="D64" t="s">
        <v>37</v>
      </c>
      <c r="E64">
        <v>1</v>
      </c>
      <c r="F64">
        <v>999</v>
      </c>
      <c r="G64">
        <v>0</v>
      </c>
      <c r="H64">
        <v>0</v>
      </c>
      <c r="I64">
        <v>999</v>
      </c>
      <c r="J64" t="s">
        <v>24</v>
      </c>
      <c r="K64" t="s">
        <v>95</v>
      </c>
      <c r="L64" t="s">
        <v>96</v>
      </c>
      <c r="M64" t="s">
        <v>40</v>
      </c>
      <c r="N64" t="s">
        <v>205</v>
      </c>
      <c r="O64" s="9">
        <v>46209</v>
      </c>
      <c r="P64" t="s">
        <v>149</v>
      </c>
      <c r="Q64" s="9">
        <v>46217</v>
      </c>
      <c r="R64" s="9">
        <v>46213.5</v>
      </c>
      <c r="S64" s="9">
        <v>46217.5</v>
      </c>
      <c r="T64" t="s">
        <v>206</v>
      </c>
      <c r="U64">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9</v>
      </c>
      <c r="V64"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65" spans="1:22">
      <c r="A65" s="19" t="s">
        <v>207</v>
      </c>
      <c r="B65" s="20">
        <v>46208</v>
      </c>
      <c r="C65" s="19" t="s">
        <v>49</v>
      </c>
      <c r="D65" s="19" t="s">
        <v>50</v>
      </c>
      <c r="E65" s="19">
        <v>1</v>
      </c>
      <c r="F65" s="19">
        <v>1299</v>
      </c>
      <c r="G65" s="19">
        <v>150</v>
      </c>
      <c r="H65" s="19">
        <v>0</v>
      </c>
      <c r="I65" s="19">
        <v>1149</v>
      </c>
      <c r="J65" s="19" t="s">
        <v>24</v>
      </c>
      <c r="K65" s="19" t="s">
        <v>117</v>
      </c>
      <c r="L65" s="19" t="s">
        <v>96</v>
      </c>
      <c r="M65" s="19" t="s">
        <v>59</v>
      </c>
      <c r="N65" s="19" t="s">
        <v>208</v>
      </c>
      <c r="O65" s="20">
        <v>46209</v>
      </c>
      <c r="P65" s="19" t="s">
        <v>149</v>
      </c>
      <c r="Q65" s="20">
        <v>46218</v>
      </c>
      <c r="R65" s="20"/>
      <c r="S65" s="20">
        <v>46218.5</v>
      </c>
      <c r="T65" s="19" t="s">
        <v>150</v>
      </c>
      <c r="U65" s="1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10</v>
      </c>
      <c r="V65"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66" spans="1:22">
      <c r="A66" t="s">
        <v>209</v>
      </c>
      <c r="B66" s="9">
        <v>46206</v>
      </c>
      <c r="C66" t="s">
        <v>57</v>
      </c>
      <c r="D66" t="s">
        <v>58</v>
      </c>
      <c r="E66">
        <v>1</v>
      </c>
      <c r="F66">
        <v>1299</v>
      </c>
      <c r="G66">
        <v>0</v>
      </c>
      <c r="H66">
        <v>0</v>
      </c>
      <c r="I66">
        <v>1299</v>
      </c>
      <c r="J66" t="s">
        <v>24</v>
      </c>
      <c r="K66" t="s">
        <v>91</v>
      </c>
      <c r="L66" t="s">
        <v>91</v>
      </c>
      <c r="M66" t="s">
        <v>59</v>
      </c>
      <c r="N66" t="s">
        <v>210</v>
      </c>
      <c r="O66" s="9">
        <v>46207</v>
      </c>
      <c r="P66" t="s">
        <v>93</v>
      </c>
      <c r="Q66" s="9">
        <v>46209</v>
      </c>
      <c r="R66" s="9">
        <v>46209.5</v>
      </c>
      <c r="S66" s="9"/>
      <c r="U66">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3</v>
      </c>
      <c r="V66"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7" spans="1:22">
      <c r="A67" t="s">
        <v>211</v>
      </c>
      <c r="B67" s="9">
        <v>46206</v>
      </c>
      <c r="C67" t="s">
        <v>49</v>
      </c>
      <c r="D67" t="s">
        <v>50</v>
      </c>
      <c r="E67">
        <v>1</v>
      </c>
      <c r="F67">
        <v>1299</v>
      </c>
      <c r="G67">
        <v>0</v>
      </c>
      <c r="H67">
        <v>49</v>
      </c>
      <c r="I67">
        <v>1348</v>
      </c>
      <c r="J67" t="s">
        <v>44</v>
      </c>
      <c r="K67" t="s">
        <v>38</v>
      </c>
      <c r="L67" t="s">
        <v>39</v>
      </c>
      <c r="M67" t="s">
        <v>27</v>
      </c>
      <c r="N67" t="s">
        <v>212</v>
      </c>
      <c r="O67" s="9">
        <v>46207</v>
      </c>
      <c r="P67" t="s">
        <v>149</v>
      </c>
      <c r="Q67" s="9">
        <v>46214</v>
      </c>
      <c r="R67" s="9">
        <v>46209.5</v>
      </c>
      <c r="S67" s="9">
        <v>46214.5</v>
      </c>
      <c r="T67" t="s">
        <v>213</v>
      </c>
      <c r="U67">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67"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68" spans="1:22">
      <c r="A68" t="s">
        <v>214</v>
      </c>
      <c r="B68" s="9">
        <v>46205</v>
      </c>
      <c r="C68" t="s">
        <v>36</v>
      </c>
      <c r="D68" t="s">
        <v>37</v>
      </c>
      <c r="E68">
        <v>1</v>
      </c>
      <c r="F68">
        <v>999</v>
      </c>
      <c r="G68">
        <v>0</v>
      </c>
      <c r="H68">
        <v>0</v>
      </c>
      <c r="I68">
        <v>999</v>
      </c>
      <c r="J68" t="s">
        <v>24</v>
      </c>
      <c r="K68" t="s">
        <v>125</v>
      </c>
      <c r="L68" t="s">
        <v>126</v>
      </c>
      <c r="M68" t="s">
        <v>45</v>
      </c>
      <c r="N68" t="s">
        <v>215</v>
      </c>
      <c r="O68" s="9">
        <v>46206</v>
      </c>
      <c r="P68" t="s">
        <v>93</v>
      </c>
      <c r="Q68" s="9">
        <v>46211</v>
      </c>
      <c r="R68" s="9">
        <v>46211.5</v>
      </c>
      <c r="S68" s="9"/>
      <c r="T68" t="s">
        <v>216</v>
      </c>
      <c r="U68">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68"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69" spans="1:22">
      <c r="A69" t="s">
        <v>217</v>
      </c>
      <c r="B69" s="9">
        <v>46205</v>
      </c>
      <c r="C69" t="s">
        <v>77</v>
      </c>
      <c r="D69" t="s">
        <v>78</v>
      </c>
      <c r="E69">
        <v>1</v>
      </c>
      <c r="F69">
        <v>999</v>
      </c>
      <c r="G69">
        <v>0</v>
      </c>
      <c r="H69">
        <v>0</v>
      </c>
      <c r="I69">
        <v>999</v>
      </c>
      <c r="J69" t="s">
        <v>24</v>
      </c>
      <c r="K69" t="s">
        <v>99</v>
      </c>
      <c r="L69" t="s">
        <v>100</v>
      </c>
      <c r="M69" t="s">
        <v>45</v>
      </c>
      <c r="N69" t="s">
        <v>218</v>
      </c>
      <c r="O69" s="9">
        <v>46206</v>
      </c>
      <c r="P69" t="s">
        <v>149</v>
      </c>
      <c r="Q69" s="9">
        <v>46213</v>
      </c>
      <c r="R69" s="9">
        <v>46210.5</v>
      </c>
      <c r="S69" s="9">
        <v>46213.5</v>
      </c>
      <c r="T69" t="s">
        <v>219</v>
      </c>
      <c r="U69">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8</v>
      </c>
      <c r="V69"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70" spans="1:22">
      <c r="A70" t="s">
        <v>220</v>
      </c>
      <c r="B70" s="9">
        <v>46204</v>
      </c>
      <c r="C70" t="s">
        <v>57</v>
      </c>
      <c r="D70" t="s">
        <v>58</v>
      </c>
      <c r="E70">
        <v>1</v>
      </c>
      <c r="F70">
        <v>1299</v>
      </c>
      <c r="G70">
        <v>0</v>
      </c>
      <c r="H70">
        <v>0</v>
      </c>
      <c r="I70">
        <v>1299</v>
      </c>
      <c r="J70" t="s">
        <v>24</v>
      </c>
      <c r="K70" t="s">
        <v>172</v>
      </c>
      <c r="L70" t="s">
        <v>52</v>
      </c>
      <c r="M70" t="s">
        <v>59</v>
      </c>
      <c r="N70" t="s">
        <v>221</v>
      </c>
      <c r="O70" s="9">
        <v>46205</v>
      </c>
      <c r="P70" t="s">
        <v>93</v>
      </c>
      <c r="Q70" s="9">
        <v>46210</v>
      </c>
      <c r="R70" s="9">
        <v>46210.5</v>
      </c>
      <c r="S70" s="9"/>
      <c r="U70">
        <f>IF(Table_17[[#This Row],[Current Status]]="Delivered",
    IF(Table_17[[#This Row],[Delivery Date]]="",
        "Not synced",
        INT(Table_17[[#This Row],[Delivery Date]])-INT(Table_17[[#This Row],[Order Date.1]])),
IF(Table_17[[#This Row],[Current Status]]="Returned",
    IF(Table_17[[#This Row],[Return/RTO Date]]="",
        "Not synced",
        INT(Table_17[[#This Row],[Return/RTO Date]])-INT(Table_17[[#This Row],[Order Date.1]])),
DATE(2026,7,27)-INT(Table_17[[#This Row],[Order Date.1]])))</f>
        <v>6</v>
      </c>
      <c r="V70"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No action needed</v>
      </c>
    </row>
    <row r="71" spans="1:22">
      <c r="A71" t="s">
        <v>222</v>
      </c>
      <c r="B71" s="9">
        <v>46204</v>
      </c>
      <c r="C71" t="s">
        <v>30</v>
      </c>
      <c r="D71" t="s">
        <v>31</v>
      </c>
      <c r="E71">
        <v>2</v>
      </c>
      <c r="F71">
        <v>1499</v>
      </c>
      <c r="G71">
        <v>200</v>
      </c>
      <c r="H71">
        <v>0</v>
      </c>
      <c r="I71">
        <v>2798</v>
      </c>
      <c r="J71" t="s">
        <v>44</v>
      </c>
      <c r="K71" t="s">
        <v>172</v>
      </c>
      <c r="L71" t="s">
        <v>52</v>
      </c>
      <c r="M71" t="s">
        <v>59</v>
      </c>
      <c r="N71" t="s">
        <v>223</v>
      </c>
      <c r="O71" s="9">
        <v>46205</v>
      </c>
      <c r="P71" t="s">
        <v>149</v>
      </c>
      <c r="Q71" s="9">
        <v>46210</v>
      </c>
      <c r="R71" s="9"/>
      <c r="S71" s="9">
        <v>46210.5</v>
      </c>
      <c r="T71" t="s">
        <v>163</v>
      </c>
      <c r="U71">
        <f>IF(Table_17[[#This Row],[Current Status]]="Delivered",
    IF(Table_17[[#This Row],[Delivery Date]]="",
        "Not synced",
        INT(Table_17[[#This Row],[Delivery Date]])-INT(Table_17[[#This Row],[Order Date.1]])),
IF(OR(Table_17[[#This Row],[Current Status]]="Returned",Table_17[[#This Row],[Current Status]]="RTO"),
    IF(Table_17[[#This Row],[Return/RTO Date]]="","Not synced",INT(Table_17[[#This Row],[Return/RTO Date]])-INT(Table_17[[#This Row],[Order Date.1]])),
DATE(2026,7,27)-INT(Table_17[[#This Row],[Order Date.1]])))</f>
        <v>6</v>
      </c>
      <c r="V71" t="str">
        <f>IF(AND(Table_17[[#This Row],[Current Status]]="Delivered",Table_17[[#This Row],[Delivery Date]]=""),
    "Sync delivery date - "&amp;Table_17[[#This Row],[Issue Note]],
IF(AND(OR(Table_17[[#This Row],[Current Status]]="Returned",Table_17[[#This Row],[Current Status]]="RTO"),Table_17[[#This Row],[Return/RTO Date]]=""),
    "Sync return date - "&amp;Table_17[[#This Row],[Issue Note]],
IF(Table_17[[#This Row],[Current Status]]="Delivered","No action needed",
IF(Table_17[[#This Row],[Current Status]]="Cancelled","No action needed",
IF(Table_17[[#This Row],[Current Status]]="Returned","Review return reason - "&amp;Table_17[[#This Row],[Issue Note]],
IF(Table_17[[#This Row],[Current Status]]="Processing","Follow up on dispatch",
IF(Table_17[[#This Row],[Current Status]]="In Transit","Track with courier",
IF(Table_17[[#This Row],[Current Status]]="Out for Delivery","Confirm delivery attempt",
"Monitor"))))))))</f>
        <v>Monitor</v>
      </c>
    </row>
    <row r="72" spans="1:22">
      <c r="B72" s="9"/>
      <c r="O72" s="9"/>
      <c r="Q72" s="9"/>
      <c r="R72" s="9"/>
      <c r="S72" s="9"/>
    </row>
    <row r="73" spans="1:22">
      <c r="B73" s="9"/>
      <c r="O73" s="9"/>
      <c r="Q73" s="9"/>
      <c r="R73" s="9"/>
      <c r="S73" s="9"/>
    </row>
    <row r="74" spans="1:22">
      <c r="B74" s="9"/>
      <c r="O74" s="9"/>
      <c r="Q74" s="9"/>
      <c r="R74" s="9"/>
      <c r="S74" s="9"/>
    </row>
    <row r="75" spans="1:22">
      <c r="B75" s="9"/>
      <c r="O75" s="9"/>
      <c r="Q75" s="9"/>
      <c r="R75" s="9"/>
      <c r="S75" s="9"/>
    </row>
    <row r="76" spans="1:22">
      <c r="B76" s="9"/>
      <c r="O76" s="9"/>
      <c r="Q76" s="9"/>
      <c r="R76" s="9"/>
      <c r="S76" s="9"/>
    </row>
    <row r="77" spans="1:22">
      <c r="B77" t="s">
        <v>231</v>
      </c>
      <c r="C77">
        <f>COUNTA(_xlfn.UNIQUE(A2:A71))</f>
        <v>70</v>
      </c>
      <c r="E77" t="s">
        <v>238</v>
      </c>
      <c r="O77" s="9"/>
      <c r="Q77" s="9"/>
      <c r="R77" s="9"/>
      <c r="S77" s="9"/>
    </row>
    <row r="78" spans="1:22">
      <c r="O78" s="9"/>
      <c r="Q78" s="9"/>
      <c r="R78" s="9"/>
      <c r="S78" s="9"/>
    </row>
    <row r="79" spans="1:22" ht="16.2" customHeight="1">
      <c r="B79" t="s">
        <v>232</v>
      </c>
      <c r="C79" s="11">
        <f>SUM(Table_17[Order Value])</f>
        <v>95051</v>
      </c>
      <c r="E79" t="s">
        <v>239</v>
      </c>
      <c r="O79" s="9"/>
      <c r="Q79" s="9"/>
      <c r="R79" s="8"/>
      <c r="S79" s="8"/>
    </row>
    <row r="80" spans="1:22" ht="16.2" customHeight="1">
      <c r="A80" s="1"/>
      <c r="O80" s="9"/>
      <c r="Q80" s="9"/>
      <c r="R80" s="8"/>
      <c r="S80" s="8"/>
    </row>
    <row r="81" spans="2:7">
      <c r="B81" t="s">
        <v>233</v>
      </c>
      <c r="C81" s="11">
        <f>SUMIFS(I2:I71,P2:P71,"Processing")+SUMIFS(I2:I71,P2:P71,"Out for Delivery")+SUMIFS(I2:I71,P2:P71,"In Transit")+SUMIFS(I2:I71,P2:P71,"Delivered")</f>
        <v>71228</v>
      </c>
      <c r="E81" t="s">
        <v>237</v>
      </c>
    </row>
    <row r="83" spans="2:7">
      <c r="B83" t="s">
        <v>234</v>
      </c>
      <c r="C83" s="11" cm="1">
        <f t="array" ref="C83">SUM(IF(P:P="Delivered",Table_17[Order Value]))</f>
        <v>39860</v>
      </c>
      <c r="E83" t="s">
        <v>240</v>
      </c>
    </row>
    <row r="85" spans="2:7">
      <c r="B85" t="s">
        <v>235</v>
      </c>
      <c r="C85" s="10">
        <f>C79/C77</f>
        <v>1357.8714285714286</v>
      </c>
      <c r="E85" t="s">
        <v>236</v>
      </c>
    </row>
    <row r="88" spans="2:7">
      <c r="B88" s="22" t="s">
        <v>261</v>
      </c>
      <c r="C88" s="28">
        <f>(C83/C79)</f>
        <v>0.41935382058053045</v>
      </c>
      <c r="E88" t="s">
        <v>262</v>
      </c>
      <c r="F88" s="11">
        <f>C79-C81</f>
        <v>23823</v>
      </c>
      <c r="G88" s="29">
        <f>F88/C79</f>
        <v>0.2506338702380827</v>
      </c>
    </row>
    <row r="99" spans="1:5" ht="14.4" customHeight="1"/>
    <row r="108" spans="1:5" ht="15.6">
      <c r="D108" s="31"/>
      <c r="E108" s="32"/>
    </row>
    <row r="111" spans="1:5">
      <c r="A111" s="15" t="s">
        <v>224</v>
      </c>
      <c r="B111" s="13" t="s">
        <v>225</v>
      </c>
      <c r="C111" s="14" t="s">
        <v>227</v>
      </c>
    </row>
    <row r="112" spans="1:5">
      <c r="A112" s="16" t="s">
        <v>46</v>
      </c>
      <c r="B112" s="13">
        <v>7892</v>
      </c>
      <c r="C112" s="14">
        <v>5</v>
      </c>
    </row>
    <row r="113" spans="1:3">
      <c r="A113" s="17" t="s">
        <v>93</v>
      </c>
      <c r="B113" s="23">
        <v>36414</v>
      </c>
      <c r="C113" s="24">
        <v>28</v>
      </c>
    </row>
    <row r="114" spans="1:3">
      <c r="A114" s="17" t="s">
        <v>54</v>
      </c>
      <c r="B114" s="23">
        <v>15035</v>
      </c>
      <c r="C114" s="24">
        <v>10</v>
      </c>
    </row>
    <row r="115" spans="1:3">
      <c r="A115" s="17" t="s">
        <v>61</v>
      </c>
      <c r="B115" s="23">
        <v>7841</v>
      </c>
      <c r="C115" s="24">
        <v>6</v>
      </c>
    </row>
    <row r="116" spans="1:3">
      <c r="A116" s="17" t="s">
        <v>28</v>
      </c>
      <c r="B116" s="23">
        <v>11938</v>
      </c>
      <c r="C116" s="24">
        <v>9</v>
      </c>
    </row>
    <row r="117" spans="1:3">
      <c r="A117" s="17" t="s">
        <v>149</v>
      </c>
      <c r="B117" s="23">
        <v>15931</v>
      </c>
      <c r="C117" s="24">
        <v>12</v>
      </c>
    </row>
    <row r="118" spans="1:3">
      <c r="A118" s="18" t="s">
        <v>226</v>
      </c>
      <c r="B118" s="25">
        <v>95051</v>
      </c>
      <c r="C118" s="26">
        <v>70</v>
      </c>
    </row>
    <row r="132" spans="1:3">
      <c r="A132" s="15" t="s">
        <v>224</v>
      </c>
      <c r="B132" s="13" t="s">
        <v>227</v>
      </c>
      <c r="C132" s="14" t="s">
        <v>225</v>
      </c>
    </row>
    <row r="133" spans="1:3">
      <c r="A133" s="16" t="s">
        <v>44</v>
      </c>
      <c r="B133" s="13">
        <v>24</v>
      </c>
      <c r="C133" s="14">
        <v>36403</v>
      </c>
    </row>
    <row r="134" spans="1:3">
      <c r="A134" s="17" t="s">
        <v>24</v>
      </c>
      <c r="B134" s="23">
        <v>46</v>
      </c>
      <c r="C134" s="24">
        <v>58648</v>
      </c>
    </row>
    <row r="135" spans="1:3">
      <c r="A135" s="18" t="s">
        <v>226</v>
      </c>
      <c r="B135" s="25">
        <v>70</v>
      </c>
      <c r="C135" s="26">
        <v>95051</v>
      </c>
    </row>
    <row r="143" spans="1:3" ht="15" customHeight="1"/>
    <row r="147" spans="1:7" ht="15.6">
      <c r="C147" s="31"/>
      <c r="D147" s="33"/>
      <c r="E147" s="33"/>
      <c r="F147" s="33"/>
    </row>
    <row r="149" spans="1:7">
      <c r="A149" t="s">
        <v>243</v>
      </c>
      <c r="B149" t="s">
        <v>1</v>
      </c>
      <c r="C149" t="s">
        <v>16</v>
      </c>
      <c r="D149" t="s">
        <v>244</v>
      </c>
      <c r="E149" t="s">
        <v>245</v>
      </c>
      <c r="F149" t="s">
        <v>246</v>
      </c>
      <c r="G149" t="s">
        <v>247</v>
      </c>
    </row>
    <row r="150" spans="1:7">
      <c r="A150">
        <v>1</v>
      </c>
      <c r="B150" t="str">
        <f>A9</f>
        <v>WWF2607063</v>
      </c>
      <c r="C150" t="str">
        <f>P9</f>
        <v>In Transit</v>
      </c>
      <c r="D150">
        <f>U9</f>
        <v>6</v>
      </c>
      <c r="E150" t="str">
        <f>T9</f>
        <v>AWB value matches another active order</v>
      </c>
      <c r="F150" t="s">
        <v>250</v>
      </c>
      <c r="G150" t="s">
        <v>251</v>
      </c>
    </row>
    <row r="151" spans="1:7">
      <c r="A151">
        <v>2</v>
      </c>
      <c r="B151" t="str">
        <f>A17</f>
        <v>WWF2607055</v>
      </c>
      <c r="C151" t="str">
        <f>P17</f>
        <v>Processing</v>
      </c>
      <c r="D151">
        <f>U17</f>
        <v>8</v>
      </c>
      <c r="E151" t="str">
        <f>T17</f>
        <v>Warehouse allocation pending</v>
      </c>
      <c r="F151" t="s">
        <v>249</v>
      </c>
      <c r="G151" t="s">
        <v>253</v>
      </c>
    </row>
    <row r="152" spans="1:7">
      <c r="A152">
        <v>3</v>
      </c>
      <c r="B152" t="str">
        <f>A26</f>
        <v>WWF2607046</v>
      </c>
      <c r="C152" t="str">
        <f>P26</f>
        <v>Processing</v>
      </c>
      <c r="D152">
        <f>U26</f>
        <v>10</v>
      </c>
      <c r="E152">
        <f>T26</f>
        <v>0</v>
      </c>
      <c r="F152" t="s">
        <v>249</v>
      </c>
      <c r="G152" t="s">
        <v>258</v>
      </c>
    </row>
    <row r="153" spans="1:7" ht="14.4" customHeight="1">
      <c r="A153">
        <v>4</v>
      </c>
      <c r="B153" t="str">
        <f>A44</f>
        <v>WWF2607028</v>
      </c>
      <c r="C153" t="str">
        <f>P44</f>
        <v>In Transit</v>
      </c>
      <c r="D153">
        <f>U44</f>
        <v>14</v>
      </c>
      <c r="E153" t="str">
        <f>T44</f>
        <v>No movement after initial hub scan</v>
      </c>
      <c r="F153" t="s">
        <v>248</v>
      </c>
      <c r="G153" t="s">
        <v>252</v>
      </c>
    </row>
    <row r="154" spans="1:7">
      <c r="A154">
        <v>5</v>
      </c>
      <c r="B154" t="str">
        <f>A45</f>
        <v>WWF2607027</v>
      </c>
      <c r="C154" t="str">
        <f>P45</f>
        <v>In Transit</v>
      </c>
      <c r="D154">
        <f>U45</f>
        <v>14</v>
      </c>
      <c r="E154">
        <f>T45</f>
        <v>0</v>
      </c>
      <c r="F154" t="s">
        <v>250</v>
      </c>
      <c r="G154" t="s">
        <v>259</v>
      </c>
    </row>
    <row r="162" spans="1:4">
      <c r="D162" s="12"/>
    </row>
    <row r="165" spans="1:4" ht="15.6">
      <c r="B165" s="27" t="s">
        <v>254</v>
      </c>
    </row>
    <row r="166" spans="1:4" ht="15">
      <c r="B166" s="30" t="s">
        <v>255</v>
      </c>
    </row>
    <row r="167" spans="1:4" ht="15">
      <c r="B167" s="30" t="s">
        <v>256</v>
      </c>
    </row>
    <row r="168" spans="1:4" ht="15">
      <c r="B168" s="30" t="s">
        <v>257</v>
      </c>
    </row>
    <row r="171" spans="1:4" ht="15.6">
      <c r="C171" s="21"/>
    </row>
    <row r="173" spans="1:4" ht="15">
      <c r="A173" s="30" t="s">
        <v>260</v>
      </c>
    </row>
    <row r="192" spans="3:3">
      <c r="C192" s="22"/>
    </row>
  </sheetData>
  <mergeCells count="2">
    <mergeCell ref="D108:E108"/>
    <mergeCell ref="C147:F147"/>
  </mergeCells>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078EBF-69DB-4E80-8F52-7F2ED542B2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Orders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dc:creator>
  <cp:lastModifiedBy>Himanshi Hotwani</cp:lastModifiedBy>
  <dcterms:created xsi:type="dcterms:W3CDTF">2026-07-27T11:20:15Z</dcterms:created>
  <dcterms:modified xsi:type="dcterms:W3CDTF">2026-08-12T12:50:17Z</dcterms:modified>
</cp:coreProperties>
</file>