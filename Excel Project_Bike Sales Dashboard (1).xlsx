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Himanshi\Downloads\"/>
    </mc:Choice>
  </mc:AlternateContent>
  <xr:revisionPtr revIDLastSave="0" documentId="13_ncr:1_{0D54BD3A-9F4B-4777-8919-D0B1742640A9}"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s" sheetId="2" r:id="rId3"/>
    <sheet name="Dashboard" sheetId="3" r:id="rId4"/>
  </sheets>
  <definedNames>
    <definedName name="_xlnm._FilterDatabase" localSheetId="0" hidden="1">bike_buyers!$A$1:$M$1001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<sst xmlns="http://schemas.openxmlformats.org/spreadsheetml/2006/main" count="16267" uniqueCount="51">
  <si>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</si>
  <si>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</si>
  <si>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</si>
  <si>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</si>
  <si>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</si>
  <si>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</si>
  <si>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</si>
  <si>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</si>
  <si>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</si>
  <si>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</si>
  <si>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</si>
  <si>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</si>
  <si>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</si>
  <si>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</si>
  <si>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</si>
  <si>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</si>
  <si>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</si>
  <si>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</si>
  <si>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</si>
  <si>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</si>
  <si>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</si>
  <si>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</si>
  <si>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</si>
  <si>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</si>
  <si>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</si>
  <si>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</si>
  <si>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</si>
  <si>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</si>
  <si>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</si>
  <si>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</si>
  <si>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</si>
  <si>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</si>
  <si>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</si>
  <si>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</si>
  <si>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</si>
  <si>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</si>
  <si>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</si>
  <si>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</si>
  <si>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</si>
  <si>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</si>
  <si>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</si>
  <si>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Column Labels</t>
  </si>
  <si>
    <t>Grand Total</t>
  </si>
  <si>
    <t>Row Labels</t>
  </si>
  <si>
    <t>Average of Income</t>
  </si>
  <si>
    <t>Count of Purchased Bike</t>
  </si>
  <si>
    <t>10 Miles +</t>
  </si>
  <si>
    <t>Middle Age 35-55</t>
  </si>
  <si>
    <t>Senior Above 54</t>
  </si>
  <si>
    <t>Young People 0-35</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</si>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</sst>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2" fontId="0" fillId="0" borderId="0" xfId="0" applyNumberFormat="1"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quot;$&quot;#,##0"/>
    </dxf>
    <dxf>
      <numFmt numFmtId="2" formatCode="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Project_Bike Sales Dashboard.xlsx]Pivot Tables!PivotTable1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Tables'!$B$2:$B$3</c:f>
              <c:strCache>
                <c:ptCount val="1"/>
                <c:pt idx="0">
                  <c:v>No</c:v>
                </c:pt>
              </c:strCache>
            </c:strRef>
          </c:tx>
          <c:spPr>
            <a:solidFill>
              <a:schemeClr val="accent1"/>
            </a:solidFill>
            <a:ln>
              <a:noFill/>
            </a:ln>
            <a:effectLst/>
            <a:sp3d/>
          </c:spPr>
          <c:invertIfNegative val="0"/>
          <c:cat>
            <c:strRef>
              <c:f>'Pivot Tables'!$A$4:$A$6</c:f>
              <c:strCache>
                <c:ptCount val="2"/>
                <c:pt idx="0">
                  <c:v>Female</c:v>
                </c:pt>
                <c:pt idx="1">
                  <c:v>Male</c:v>
                </c:pt>
              </c:strCache>
            </c:strRef>
          </c:cat>
          <c:val>
            <c:numRef>
              <c:f>'Pivot Tables'!$B$4:$B$6</c:f>
              <c:numCache>
                <c:formatCode>"$"#,##0.00</c:formatCode>
                <c:ptCount val="2"/>
                <c:pt idx="0">
                  <c:v>43913.043478260872</c:v>
                </c:pt>
                <c:pt idx="1">
                  <c:v>45925.925925925927</c:v>
                </c:pt>
              </c:numCache>
            </c:numRef>
          </c:val>
          <c:extLst>
            <c:ext xmlns:c16="http://schemas.microsoft.com/office/drawing/2014/chart" uri="{C3380CC4-5D6E-409C-BE32-E72D297353CC}">
              <c16:uniqueId val="{00000000-6301-4E38-BEDE-45E88359ADE6}"/>
            </c:ext>
          </c:extLst>
        </c:ser>
        <c:ser>
          <c:idx val="1"/>
          <c:order val="1"/>
          <c:tx>
            <c:strRef>
              <c:f>'Pivot Tables'!$C$2:$C$3</c:f>
              <c:strCache>
                <c:ptCount val="1"/>
                <c:pt idx="0">
                  <c:v>Yes</c:v>
                </c:pt>
              </c:strCache>
            </c:strRef>
          </c:tx>
          <c:spPr>
            <a:solidFill>
              <a:schemeClr val="accent2"/>
            </a:solidFill>
            <a:ln>
              <a:noFill/>
            </a:ln>
            <a:effectLst/>
            <a:sp3d/>
          </c:spPr>
          <c:invertIfNegative val="0"/>
          <c:cat>
            <c:strRef>
              <c:f>'Pivot Tables'!$A$4:$A$6</c:f>
              <c:strCache>
                <c:ptCount val="2"/>
                <c:pt idx="0">
                  <c:v>Female</c:v>
                </c:pt>
                <c:pt idx="1">
                  <c:v>Male</c:v>
                </c:pt>
              </c:strCache>
            </c:strRef>
          </c:cat>
          <c:val>
            <c:numRef>
              <c:f>'Pivot Tables'!$C$4:$C$6</c:f>
              <c:numCache>
                <c:formatCode>"$"#,##0.00</c:formatCode>
                <c:ptCount val="2"/>
                <c:pt idx="0">
                  <c:v>45294.117647058825</c:v>
                </c:pt>
                <c:pt idx="1">
                  <c:v>53777.777777777781</c:v>
                </c:pt>
              </c:numCache>
            </c:numRef>
          </c:val>
          <c:extLst>
            <c:ext xmlns:c16="http://schemas.microsoft.com/office/drawing/2014/chart" uri="{C3380CC4-5D6E-409C-BE32-E72D297353CC}">
              <c16:uniqueId val="{00000002-F648-4436-9457-2914FBDE758C}"/>
            </c:ext>
          </c:extLst>
        </c:ser>
        <c:dLbls>
          <c:showLegendKey val="0"/>
          <c:showVal val="0"/>
          <c:showCatName val="0"/>
          <c:showSerName val="0"/>
          <c:showPercent val="0"/>
          <c:showBubbleSize val="0"/>
        </c:dLbls>
        <c:gapWidth val="150"/>
        <c:shape val="box"/>
        <c:axId val="699909024"/>
        <c:axId val="699908064"/>
        <c:axId val="617499056"/>
      </c:bar3DChart>
      <c:catAx>
        <c:axId val="69990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4533252486606201"/>
              <c:y val="0.863923784336118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908064"/>
        <c:crosses val="autoZero"/>
        <c:auto val="1"/>
        <c:lblAlgn val="ctr"/>
        <c:lblOffset val="100"/>
        <c:noMultiLvlLbl val="0"/>
      </c:catAx>
      <c:valAx>
        <c:axId val="6999080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909024"/>
        <c:crosses val="autoZero"/>
        <c:crossBetween val="between"/>
      </c:valAx>
      <c:serAx>
        <c:axId val="617499056"/>
        <c:scaling>
          <c:orientation val="minMax"/>
        </c:scaling>
        <c:delete val="1"/>
        <c:axPos val="b"/>
        <c:majorTickMark val="none"/>
        <c:minorTickMark val="none"/>
        <c:tickLblPos val="nextTo"/>
        <c:crossAx val="699908064"/>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Project_Bike Sales Dashboard.xlsx]Pivot Tables!PivotTable2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5970562310106"/>
          <c:y val="0.21629059427273084"/>
          <c:w val="0.63249176404544183"/>
          <c:h val="0.54131018137658171"/>
        </c:manualLayout>
      </c:layout>
      <c:lineChart>
        <c:grouping val="standard"/>
        <c:varyColors val="0"/>
        <c:ser>
          <c:idx val="0"/>
          <c:order val="0"/>
          <c:tx>
            <c:strRef>
              <c:f>'Pivot Tables'!$B$16:$B$17</c:f>
              <c:strCache>
                <c:ptCount val="1"/>
                <c:pt idx="0">
                  <c:v>No</c:v>
                </c:pt>
              </c:strCache>
            </c:strRef>
          </c:tx>
          <c:spPr>
            <a:ln w="28575" cap="rnd">
              <a:solidFill>
                <a:schemeClr val="accent1"/>
              </a:solidFill>
              <a:round/>
            </a:ln>
            <a:effectLst/>
          </c:spPr>
          <c:marker>
            <c:symbol val="none"/>
          </c:marker>
          <c:cat>
            <c:strRef>
              <c:f>'Pivot Tables'!$A$18:$A$23</c:f>
              <c:strCache>
                <c:ptCount val="5"/>
                <c:pt idx="0">
                  <c:v>0-1 Miles</c:v>
                </c:pt>
                <c:pt idx="1">
                  <c:v>1-2 Miles</c:v>
                </c:pt>
                <c:pt idx="2">
                  <c:v>2-5 Miles</c:v>
                </c:pt>
                <c:pt idx="3">
                  <c:v>5-10 Miles</c:v>
                </c:pt>
                <c:pt idx="4">
                  <c:v>10 Miles +</c:v>
                </c:pt>
              </c:strCache>
            </c:strRef>
          </c:cat>
          <c:val>
            <c:numRef>
              <c:f>'Pivot Tables'!$B$18:$B$23</c:f>
              <c:numCache>
                <c:formatCode>General</c:formatCode>
                <c:ptCount val="5"/>
                <c:pt idx="0">
                  <c:v>15</c:v>
                </c:pt>
                <c:pt idx="1">
                  <c:v>18</c:v>
                </c:pt>
                <c:pt idx="2">
                  <c:v>16</c:v>
                </c:pt>
                <c:pt idx="3">
                  <c:v>39</c:v>
                </c:pt>
                <c:pt idx="4">
                  <c:v>12</c:v>
                </c:pt>
              </c:numCache>
            </c:numRef>
          </c:val>
          <c:smooth val="0"/>
          <c:extLst>
            <c:ext xmlns:c16="http://schemas.microsoft.com/office/drawing/2014/chart" uri="{C3380CC4-5D6E-409C-BE32-E72D297353CC}">
              <c16:uniqueId val="{00000000-238E-4923-A8D6-CACA6574A888}"/>
            </c:ext>
          </c:extLst>
        </c:ser>
        <c:ser>
          <c:idx val="1"/>
          <c:order val="1"/>
          <c:tx>
            <c:strRef>
              <c:f>'Pivot Tables'!$C$16:$C$17</c:f>
              <c:strCache>
                <c:ptCount val="1"/>
                <c:pt idx="0">
                  <c:v>Yes</c:v>
                </c:pt>
              </c:strCache>
            </c:strRef>
          </c:tx>
          <c:spPr>
            <a:ln w="28575" cap="rnd">
              <a:solidFill>
                <a:schemeClr val="accent2"/>
              </a:solidFill>
              <a:round/>
            </a:ln>
            <a:effectLst/>
          </c:spPr>
          <c:marker>
            <c:symbol val="none"/>
          </c:marker>
          <c:cat>
            <c:strRef>
              <c:f>'Pivot Tables'!$A$18:$A$23</c:f>
              <c:strCache>
                <c:ptCount val="5"/>
                <c:pt idx="0">
                  <c:v>0-1 Miles</c:v>
                </c:pt>
                <c:pt idx="1">
                  <c:v>1-2 Miles</c:v>
                </c:pt>
                <c:pt idx="2">
                  <c:v>2-5 Miles</c:v>
                </c:pt>
                <c:pt idx="3">
                  <c:v>5-10 Miles</c:v>
                </c:pt>
                <c:pt idx="4">
                  <c:v>10 Miles +</c:v>
                </c:pt>
              </c:strCache>
            </c:strRef>
          </c:cat>
          <c:val>
            <c:numRef>
              <c:f>'Pivot Tables'!$C$18:$C$23</c:f>
              <c:numCache>
                <c:formatCode>General</c:formatCode>
                <c:ptCount val="5"/>
                <c:pt idx="0">
                  <c:v>20</c:v>
                </c:pt>
                <c:pt idx="1">
                  <c:v>18</c:v>
                </c:pt>
                <c:pt idx="2">
                  <c:v>13</c:v>
                </c:pt>
                <c:pt idx="3">
                  <c:v>19</c:v>
                </c:pt>
                <c:pt idx="4">
                  <c:v>9</c:v>
                </c:pt>
              </c:numCache>
            </c:numRef>
          </c:val>
          <c:smooth val="0"/>
          <c:extLst>
            <c:ext xmlns:c16="http://schemas.microsoft.com/office/drawing/2014/chart" uri="{C3380CC4-5D6E-409C-BE32-E72D297353CC}">
              <c16:uniqueId val="{00000002-83E0-4F5A-A022-45BDA4EB88EA}"/>
            </c:ext>
          </c:extLst>
        </c:ser>
        <c:dLbls>
          <c:showLegendKey val="0"/>
          <c:showVal val="0"/>
          <c:showCatName val="0"/>
          <c:showSerName val="0"/>
          <c:showPercent val="0"/>
          <c:showBubbleSize val="0"/>
        </c:dLbls>
        <c:smooth val="0"/>
        <c:axId val="618471936"/>
        <c:axId val="618475296"/>
      </c:lineChart>
      <c:catAx>
        <c:axId val="618471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layout>
            <c:manualLayout>
              <c:xMode val="edge"/>
              <c:yMode val="edge"/>
              <c:x val="0.4008349214321944"/>
              <c:y val="0.895649704234731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475296"/>
        <c:crosses val="autoZero"/>
        <c:auto val="1"/>
        <c:lblAlgn val="ctr"/>
        <c:lblOffset val="100"/>
        <c:noMultiLvlLbl val="0"/>
      </c:catAx>
      <c:valAx>
        <c:axId val="6184752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47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Project_Bike Sales Dashboard.xlsx]Pivot Tables!PivotTable3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Tables'!$B$30:$B$31</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7F-4DF4-B622-A06232315F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7F-4DF4-B622-A06232315F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7F-4DF4-B622-A06232315F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Tables'!$A$32:$A$35</c:f>
              <c:strCache>
                <c:ptCount val="3"/>
                <c:pt idx="0">
                  <c:v>Middle Age 35-55</c:v>
                </c:pt>
                <c:pt idx="1">
                  <c:v>Senior Above 54</c:v>
                </c:pt>
                <c:pt idx="2">
                  <c:v>Young People 0-35</c:v>
                </c:pt>
              </c:strCache>
            </c:strRef>
          </c:cat>
          <c:val>
            <c:numRef>
              <c:f>'Pivot Tables'!$B$32:$B$35</c:f>
              <c:numCache>
                <c:formatCode>General</c:formatCode>
                <c:ptCount val="3"/>
                <c:pt idx="0">
                  <c:v>41</c:v>
                </c:pt>
                <c:pt idx="1">
                  <c:v>24</c:v>
                </c:pt>
                <c:pt idx="2">
                  <c:v>35</c:v>
                </c:pt>
              </c:numCache>
            </c:numRef>
          </c:val>
          <c:extLst>
            <c:ext xmlns:c16="http://schemas.microsoft.com/office/drawing/2014/chart" uri="{C3380CC4-5D6E-409C-BE32-E72D297353CC}">
              <c16:uniqueId val="{00000000-CF32-46C8-BE72-12F72EA1A6CA}"/>
            </c:ext>
          </c:extLst>
        </c:ser>
        <c:ser>
          <c:idx val="1"/>
          <c:order val="1"/>
          <c:tx>
            <c:strRef>
              <c:f>'Pivot Tables'!$C$30:$C$31</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CD8F-491C-A85F-EFCAED0D7C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CD8F-491C-A85F-EFCAED0D7C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CD8F-491C-A85F-EFCAED0D7C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Tables'!$A$32:$A$35</c:f>
              <c:strCache>
                <c:ptCount val="3"/>
                <c:pt idx="0">
                  <c:v>Middle Age 35-55</c:v>
                </c:pt>
                <c:pt idx="1">
                  <c:v>Senior Above 54</c:v>
                </c:pt>
                <c:pt idx="2">
                  <c:v>Young People 0-35</c:v>
                </c:pt>
              </c:strCache>
            </c:strRef>
          </c:cat>
          <c:val>
            <c:numRef>
              <c:f>'Pivot Tables'!$C$32:$C$35</c:f>
              <c:numCache>
                <c:formatCode>General</c:formatCode>
                <c:ptCount val="3"/>
                <c:pt idx="0">
                  <c:v>48</c:v>
                </c:pt>
                <c:pt idx="1">
                  <c:v>11</c:v>
                </c:pt>
                <c:pt idx="2">
                  <c:v>20</c:v>
                </c:pt>
              </c:numCache>
            </c:numRef>
          </c:val>
          <c:extLst>
            <c:ext xmlns:c16="http://schemas.microsoft.com/office/drawing/2014/chart" uri="{C3380CC4-5D6E-409C-BE32-E72D297353CC}">
              <c16:uniqueId val="{0000000E-53CE-4102-A3F1-38A40A4579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Project_Bike Sales Dashboard.xlsx]Pivot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Customer</a:t>
            </a:r>
            <a:r>
              <a:rPr lang="en-US" sz="1600" b="1" baseline="0">
                <a:solidFill>
                  <a:schemeClr val="tx1"/>
                </a:solidFill>
              </a:rPr>
              <a:t> Age Brackets</a:t>
            </a:r>
          </a:p>
        </c:rich>
      </c:tx>
      <c:layout>
        <c:manualLayout>
          <c:xMode val="edge"/>
          <c:yMode val="edge"/>
          <c:x val="0.304288667168305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accent2">
                  <a:lumMod val="75000"/>
                </a:schemeClr>
              </a:gs>
              <a:gs pos="100000">
                <a:schemeClr val="accent2">
                  <a:lumMod val="20000"/>
                  <a:lumOff val="80000"/>
                </a:schemeClr>
              </a:gs>
              <a:gs pos="100000">
                <a:schemeClr val="accent1">
                  <a:lumMod val="75000"/>
                </a:schemeClr>
              </a:gs>
              <a:gs pos="100000">
                <a:schemeClr val="accent1">
                  <a:lumMod val="30000"/>
                  <a:lumOff val="70000"/>
                </a:schemeClr>
              </a:gs>
            </a:gsLst>
            <a:lin ang="5400000" scaled="1"/>
          </a:gradFill>
          <a:ln w="19050">
            <a:solidFill>
              <a:schemeClr val="lt1"/>
            </a:solidFill>
          </a:ln>
          <a:effectLst/>
        </c:spPr>
        <c:dLbl>
          <c:idx val="0"/>
          <c:layout>
            <c:manualLayout>
              <c:x val="-0.16345456594119734"/>
              <c:y val="-9.702231561041514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rgbClr val="002060"/>
              </a:gs>
              <a:gs pos="98000">
                <a:schemeClr val="accent1">
                  <a:lumMod val="45000"/>
                  <a:lumOff val="55000"/>
                </a:schemeClr>
              </a:gs>
              <a:gs pos="100000">
                <a:schemeClr val="accent1">
                  <a:lumMod val="60000"/>
                  <a:lumOff val="40000"/>
                </a:schemeClr>
              </a:gs>
              <a:gs pos="100000">
                <a:schemeClr val="accent1">
                  <a:lumMod val="30000"/>
                  <a:lumOff val="70000"/>
                </a:schemeClr>
              </a:gs>
            </a:gsLst>
            <a:lin ang="5400000" scaled="1"/>
          </a:gradFill>
          <a:ln w="19050">
            <a:solidFill>
              <a:schemeClr val="lt1"/>
            </a:solidFill>
          </a:ln>
          <a:effectLst/>
        </c:spPr>
        <c:dLbl>
          <c:idx val="0"/>
          <c:layout>
            <c:manualLayout>
              <c:x val="0.11684048283234721"/>
              <c:y val="-0.12826594223504911"/>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tx2"/>
              </a:gs>
              <a:gs pos="100000">
                <a:schemeClr val="accent1">
                  <a:lumMod val="45000"/>
                  <a:lumOff val="55000"/>
                </a:schemeClr>
              </a:gs>
              <a:gs pos="95000">
                <a:schemeClr val="accent6">
                  <a:lumMod val="60000"/>
                  <a:lumOff val="40000"/>
                </a:schemeClr>
              </a:gs>
              <a:gs pos="100000">
                <a:schemeClr val="accent1">
                  <a:lumMod val="30000"/>
                  <a:lumOff val="70000"/>
                </a:schemeClr>
              </a:gs>
            </a:gsLst>
            <a:lin ang="5400000" scaled="1"/>
          </a:gradFill>
          <a:ln w="19050">
            <a:solidFill>
              <a:schemeClr val="lt1"/>
            </a:solidFill>
          </a:ln>
          <a:effectLst/>
        </c:spPr>
        <c:dLbl>
          <c:idx val="0"/>
          <c:layout>
            <c:manualLayout>
              <c:x val="0.10103259127550321"/>
              <c:y val="0.1550764300597957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78173435726757"/>
          <c:y val="0.16869642638850896"/>
          <c:w val="0.3930575431638817"/>
          <c:h val="0.73340484777100723"/>
        </c:manualLayout>
      </c:layout>
      <c:pieChart>
        <c:varyColors val="1"/>
        <c:ser>
          <c:idx val="0"/>
          <c:order val="0"/>
          <c:tx>
            <c:strRef>
              <c:f>'Pivot Tables'!$B$30:$B$31</c:f>
              <c:strCache>
                <c:ptCount val="1"/>
                <c:pt idx="0">
                  <c:v>No</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dPt>
            <c:idx val="0"/>
            <c:bubble3D val="0"/>
            <c:spPr>
              <a:gradFill>
                <a:gsLst>
                  <a:gs pos="0">
                    <a:schemeClr val="accent2">
                      <a:lumMod val="75000"/>
                    </a:schemeClr>
                  </a:gs>
                  <a:gs pos="100000">
                    <a:schemeClr val="accent2">
                      <a:lumMod val="20000"/>
                      <a:lumOff val="80000"/>
                    </a:schemeClr>
                  </a:gs>
                  <a:gs pos="100000">
                    <a:schemeClr val="accent1">
                      <a:lumMod val="7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1-5106-4D3D-B2B2-F11EBC54300D}"/>
              </c:ext>
            </c:extLst>
          </c:dPt>
          <c:dPt>
            <c:idx val="1"/>
            <c:bubble3D val="0"/>
            <c:spPr>
              <a:gradFill>
                <a:gsLst>
                  <a:gs pos="0">
                    <a:srgbClr val="002060"/>
                  </a:gs>
                  <a:gs pos="98000">
                    <a:schemeClr val="accent1">
                      <a:lumMod val="45000"/>
                      <a:lumOff val="55000"/>
                    </a:schemeClr>
                  </a:gs>
                  <a:gs pos="100000">
                    <a:schemeClr val="accent1">
                      <a:lumMod val="60000"/>
                      <a:lumOff val="40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5106-4D3D-B2B2-F11EBC54300D}"/>
              </c:ext>
            </c:extLst>
          </c:dPt>
          <c:dPt>
            <c:idx val="2"/>
            <c:bubble3D val="0"/>
            <c:spPr>
              <a:gradFill>
                <a:gsLst>
                  <a:gs pos="0">
                    <a:schemeClr val="tx2"/>
                  </a:gs>
                  <a:gs pos="100000">
                    <a:schemeClr val="accent1">
                      <a:lumMod val="45000"/>
                      <a:lumOff val="55000"/>
                    </a:schemeClr>
                  </a:gs>
                  <a:gs pos="95000">
                    <a:schemeClr val="accent6">
                      <a:lumMod val="60000"/>
                      <a:lumOff val="40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5-5106-4D3D-B2B2-F11EBC54300D}"/>
              </c:ext>
            </c:extLst>
          </c:dPt>
          <c:dLbls>
            <c:dLbl>
              <c:idx val="0"/>
              <c:layout>
                <c:manualLayout>
                  <c:x val="-0.16345456594119734"/>
                  <c:y val="-9.70223156104151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06-4D3D-B2B2-F11EBC54300D}"/>
                </c:ext>
              </c:extLst>
            </c:dLbl>
            <c:dLbl>
              <c:idx val="1"/>
              <c:layout>
                <c:manualLayout>
                  <c:x val="0.11684048283234721"/>
                  <c:y val="-0.1282659422350491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06-4D3D-B2B2-F11EBC54300D}"/>
                </c:ext>
              </c:extLst>
            </c:dLbl>
            <c:dLbl>
              <c:idx val="2"/>
              <c:layout>
                <c:manualLayout>
                  <c:x val="0.10103259127550321"/>
                  <c:y val="0.1550764300597957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06-4D3D-B2B2-F11EBC54300D}"/>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Tables'!$A$32:$A$35</c:f>
              <c:strCache>
                <c:ptCount val="3"/>
                <c:pt idx="0">
                  <c:v>Middle Age 35-55</c:v>
                </c:pt>
                <c:pt idx="1">
                  <c:v>Senior Above 54</c:v>
                </c:pt>
                <c:pt idx="2">
                  <c:v>Young People 0-35</c:v>
                </c:pt>
              </c:strCache>
            </c:strRef>
          </c:cat>
          <c:val>
            <c:numRef>
              <c:f>'Pivot Tables'!$B$32:$B$35</c:f>
              <c:numCache>
                <c:formatCode>General</c:formatCode>
                <c:ptCount val="3"/>
                <c:pt idx="0">
                  <c:v>41</c:v>
                </c:pt>
                <c:pt idx="1">
                  <c:v>24</c:v>
                </c:pt>
                <c:pt idx="2">
                  <c:v>35</c:v>
                </c:pt>
              </c:numCache>
            </c:numRef>
          </c:val>
          <c:extLst>
            <c:ext xmlns:c16="http://schemas.microsoft.com/office/drawing/2014/chart" uri="{C3380CC4-5D6E-409C-BE32-E72D297353CC}">
              <c16:uniqueId val="{00000006-5106-4D3D-B2B2-F11EBC54300D}"/>
            </c:ext>
          </c:extLst>
        </c:ser>
        <c:ser>
          <c:idx val="1"/>
          <c:order val="1"/>
          <c:tx>
            <c:strRef>
              <c:f>'Pivot Tables'!$C$30:$C$31</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CE17-42D7-A354-880543B9EE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CE17-42D7-A354-880543B9EE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CE17-42D7-A354-880543B9EE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Tables'!$A$32:$A$35</c:f>
              <c:strCache>
                <c:ptCount val="3"/>
                <c:pt idx="0">
                  <c:v>Middle Age 35-55</c:v>
                </c:pt>
                <c:pt idx="1">
                  <c:v>Senior Above 54</c:v>
                </c:pt>
                <c:pt idx="2">
                  <c:v>Young People 0-35</c:v>
                </c:pt>
              </c:strCache>
            </c:strRef>
          </c:cat>
          <c:val>
            <c:numRef>
              <c:f>'Pivot Tables'!$C$32:$C$35</c:f>
              <c:numCache>
                <c:formatCode>General</c:formatCode>
                <c:ptCount val="3"/>
                <c:pt idx="0">
                  <c:v>48</c:v>
                </c:pt>
                <c:pt idx="1">
                  <c:v>11</c:v>
                </c:pt>
                <c:pt idx="2">
                  <c:v>20</c:v>
                </c:pt>
              </c:numCache>
            </c:numRef>
          </c:val>
          <c:extLst>
            <c:ext xmlns:c16="http://schemas.microsoft.com/office/drawing/2014/chart" uri="{C3380CC4-5D6E-409C-BE32-E72D297353CC}">
              <c16:uniqueId val="{0000000F-E10D-4056-BE2C-24E2E4C9E5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0402033470921124"/>
          <c:y val="0.19781028844289258"/>
          <c:w val="0.3413930987738365"/>
          <c:h val="0.3475007143317634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Project_Bike Sales Dashboard.xlsx]Pivot Tables!PivotTable2</c:name>
    <c:fmtId val="3"/>
  </c:pivotSource>
  <c:chart>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744122391846886"/>
          <c:y val="9.7738246566174247E-2"/>
          <c:w val="0.7737912371374619"/>
          <c:h val="0.45482757718326766"/>
        </c:manualLayout>
      </c:layout>
      <c:bar3DChart>
        <c:barDir val="col"/>
        <c:grouping val="standard"/>
        <c:varyColors val="0"/>
        <c:ser>
          <c:idx val="0"/>
          <c:order val="0"/>
          <c:tx>
            <c:strRef>
              <c:f>'Pivot Tables'!$B$16:$B$17</c:f>
              <c:strCache>
                <c:ptCount val="1"/>
                <c:pt idx="0">
                  <c:v>No</c:v>
                </c:pt>
              </c:strCache>
            </c:strRef>
          </c:tx>
          <c:spPr>
            <a:solidFill>
              <a:schemeClr val="accent1"/>
            </a:solidFill>
            <a:ln>
              <a:noFill/>
            </a:ln>
            <a:effectLst/>
            <a:sp3d/>
          </c:spPr>
          <c:invertIfNegative val="0"/>
          <c:cat>
            <c:strRef>
              <c:f>'Pivot Tables'!$A$18:$A$23</c:f>
              <c:strCache>
                <c:ptCount val="5"/>
                <c:pt idx="0">
                  <c:v>0-1 Miles</c:v>
                </c:pt>
                <c:pt idx="1">
                  <c:v>1-2 Miles</c:v>
                </c:pt>
                <c:pt idx="2">
                  <c:v>2-5 Miles</c:v>
                </c:pt>
                <c:pt idx="3">
                  <c:v>5-10 Miles</c:v>
                </c:pt>
                <c:pt idx="4">
                  <c:v>10 Miles +</c:v>
                </c:pt>
              </c:strCache>
            </c:strRef>
          </c:cat>
          <c:val>
            <c:numRef>
              <c:f>'Pivot Tables'!$B$18:$B$23</c:f>
              <c:numCache>
                <c:formatCode>General</c:formatCode>
                <c:ptCount val="5"/>
                <c:pt idx="0">
                  <c:v>15</c:v>
                </c:pt>
                <c:pt idx="1">
                  <c:v>18</c:v>
                </c:pt>
                <c:pt idx="2">
                  <c:v>16</c:v>
                </c:pt>
                <c:pt idx="3">
                  <c:v>39</c:v>
                </c:pt>
                <c:pt idx="4">
                  <c:v>12</c:v>
                </c:pt>
              </c:numCache>
            </c:numRef>
          </c:val>
          <c:extLst>
            <c:ext xmlns:c16="http://schemas.microsoft.com/office/drawing/2014/chart" uri="{C3380CC4-5D6E-409C-BE32-E72D297353CC}">
              <c16:uniqueId val="{00000003-8F29-408B-8F50-758B94D3E860}"/>
            </c:ext>
          </c:extLst>
        </c:ser>
        <c:ser>
          <c:idx val="1"/>
          <c:order val="1"/>
          <c:tx>
            <c:strRef>
              <c:f>'Pivot Tables'!$C$16:$C$17</c:f>
              <c:strCache>
                <c:ptCount val="1"/>
                <c:pt idx="0">
                  <c:v>Yes</c:v>
                </c:pt>
              </c:strCache>
            </c:strRef>
          </c:tx>
          <c:spPr>
            <a:solidFill>
              <a:schemeClr val="accent2"/>
            </a:solidFill>
            <a:ln>
              <a:noFill/>
            </a:ln>
            <a:effectLst/>
            <a:sp3d/>
          </c:spPr>
          <c:invertIfNegative val="0"/>
          <c:cat>
            <c:strRef>
              <c:f>'Pivot Tables'!$A$18:$A$23</c:f>
              <c:strCache>
                <c:ptCount val="5"/>
                <c:pt idx="0">
                  <c:v>0-1 Miles</c:v>
                </c:pt>
                <c:pt idx="1">
                  <c:v>1-2 Miles</c:v>
                </c:pt>
                <c:pt idx="2">
                  <c:v>2-5 Miles</c:v>
                </c:pt>
                <c:pt idx="3">
                  <c:v>5-10 Miles</c:v>
                </c:pt>
                <c:pt idx="4">
                  <c:v>10 Miles +</c:v>
                </c:pt>
              </c:strCache>
            </c:strRef>
          </c:cat>
          <c:val>
            <c:numRef>
              <c:f>'Pivot Tables'!$C$18:$C$23</c:f>
              <c:numCache>
                <c:formatCode>General</c:formatCode>
                <c:ptCount val="5"/>
                <c:pt idx="0">
                  <c:v>20</c:v>
                </c:pt>
                <c:pt idx="1">
                  <c:v>18</c:v>
                </c:pt>
                <c:pt idx="2">
                  <c:v>13</c:v>
                </c:pt>
                <c:pt idx="3">
                  <c:v>19</c:v>
                </c:pt>
                <c:pt idx="4">
                  <c:v>9</c:v>
                </c:pt>
              </c:numCache>
            </c:numRef>
          </c:val>
          <c:extLst>
            <c:ext xmlns:c16="http://schemas.microsoft.com/office/drawing/2014/chart" uri="{C3380CC4-5D6E-409C-BE32-E72D297353CC}">
              <c16:uniqueId val="{00000003-C3A3-4EBF-A92D-286D1759F1B2}"/>
            </c:ext>
          </c:extLst>
        </c:ser>
        <c:dLbls>
          <c:showLegendKey val="0"/>
          <c:showVal val="0"/>
          <c:showCatName val="0"/>
          <c:showSerName val="0"/>
          <c:showPercent val="0"/>
          <c:showBubbleSize val="0"/>
        </c:dLbls>
        <c:gapWidth val="150"/>
        <c:shape val="box"/>
        <c:axId val="699909024"/>
        <c:axId val="699908064"/>
        <c:axId val="617499056"/>
      </c:bar3DChart>
      <c:catAx>
        <c:axId val="699909024"/>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Gender</a:t>
                </a:r>
              </a:p>
            </c:rich>
          </c:tx>
          <c:layout>
            <c:manualLayout>
              <c:xMode val="edge"/>
              <c:yMode val="edge"/>
              <c:x val="0.42952640320139657"/>
              <c:y val="0.84819720920580044"/>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908064"/>
        <c:crosses val="autoZero"/>
        <c:auto val="1"/>
        <c:lblAlgn val="ctr"/>
        <c:lblOffset val="100"/>
        <c:noMultiLvlLbl val="0"/>
      </c:catAx>
      <c:valAx>
        <c:axId val="699908064"/>
        <c:scaling>
          <c:orientation val="minMax"/>
        </c:scaling>
        <c:delete val="0"/>
        <c:axPos val="l"/>
        <c:title>
          <c:tx>
            <c:rich>
              <a:bodyPr rot="-5400000" spcFirstLastPara="1" vertOverflow="ellipsis" vert="horz" wrap="square" anchor="ctr" anchorCtr="1"/>
              <a:lstStyle/>
              <a:p>
                <a:pPr algn="ctr" rtl="0">
                  <a:defRPr lang="en-US" sz="1200" b="0" i="0" u="none" strike="noStrike" kern="1200" baseline="0">
                    <a:solidFill>
                      <a:schemeClr val="tx1"/>
                    </a:solidFill>
                    <a:latin typeface="+mn-lt"/>
                    <a:ea typeface="+mn-ea"/>
                    <a:cs typeface="+mn-cs"/>
                  </a:defRPr>
                </a:pPr>
                <a:r>
                  <a:rPr lang="en-US" sz="1200" b="0" i="0" u="none" strike="noStrike" kern="1200" baseline="0">
                    <a:solidFill>
                      <a:schemeClr val="tx1"/>
                    </a:solidFill>
                    <a:latin typeface="+mn-lt"/>
                    <a:ea typeface="+mn-ea"/>
                    <a:cs typeface="+mn-cs"/>
                  </a:rPr>
                  <a:t>Income</a:t>
                </a:r>
              </a:p>
            </c:rich>
          </c:tx>
          <c:layout>
            <c:manualLayout>
              <c:xMode val="edge"/>
              <c:yMode val="edge"/>
              <c:x val="1.9158821137072939E-2"/>
              <c:y val="0.41585154358605519"/>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99909024"/>
        <c:crosses val="autoZero"/>
        <c:crossBetween val="between"/>
      </c:valAx>
      <c:serAx>
        <c:axId val="617499056"/>
        <c:scaling>
          <c:orientation val="minMax"/>
        </c:scaling>
        <c:delete val="1"/>
        <c:axPos val="b"/>
        <c:majorTickMark val="none"/>
        <c:minorTickMark val="none"/>
        <c:tickLblPos val="nextTo"/>
        <c:crossAx val="699908064"/>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lumMod val="65000"/>
                    <a:lumOff val="35000"/>
                  </a:schemeClr>
                </a:solidFill>
                <a:latin typeface="+mn-lt"/>
                <a:ea typeface="+mn-ea"/>
                <a:cs typeface="+mn-cs"/>
              </a:defRPr>
            </a:pPr>
            <a:endParaRPr lang="en-US"/>
          </a:p>
        </c:txPr>
      </c:dTable>
    </c:plotArea>
    <c:legend>
      <c:legendPos val="r"/>
      <c:layout>
        <c:manualLayout>
          <c:xMode val="edge"/>
          <c:yMode val="edge"/>
          <c:x val="0.88307241454198437"/>
          <c:y val="9.7792169584721395E-2"/>
          <c:w val="6.2833945720279755E-2"/>
          <c:h val="0.126809040899900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Project_Bike Sales Dashboard.xlsx]Pivot Tables!PivotTable2</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91833479943069"/>
          <c:y val="0.1447240772118675"/>
          <c:w val="0.67719016485455397"/>
          <c:h val="0.58272687503581444"/>
        </c:manualLayout>
      </c:layout>
      <c:lineChart>
        <c:grouping val="standard"/>
        <c:varyColors val="0"/>
        <c:ser>
          <c:idx val="0"/>
          <c:order val="0"/>
          <c:tx>
            <c:strRef>
              <c:f>'Pivot Tables'!$B$16:$B$17</c:f>
              <c:strCache>
                <c:ptCount val="1"/>
                <c:pt idx="0">
                  <c:v>No</c:v>
                </c:pt>
              </c:strCache>
            </c:strRef>
          </c:tx>
          <c:spPr>
            <a:ln w="28575" cap="rnd">
              <a:solidFill>
                <a:schemeClr val="accent1"/>
              </a:solidFill>
              <a:round/>
            </a:ln>
            <a:effectLst/>
          </c:spPr>
          <c:marker>
            <c:symbol val="none"/>
          </c:marker>
          <c:cat>
            <c:strRef>
              <c:f>'Pivot Tables'!$A$18:$A$23</c:f>
              <c:strCache>
                <c:ptCount val="5"/>
                <c:pt idx="0">
                  <c:v>0-1 Miles</c:v>
                </c:pt>
                <c:pt idx="1">
                  <c:v>1-2 Miles</c:v>
                </c:pt>
                <c:pt idx="2">
                  <c:v>2-5 Miles</c:v>
                </c:pt>
                <c:pt idx="3">
                  <c:v>5-10 Miles</c:v>
                </c:pt>
                <c:pt idx="4">
                  <c:v>10 Miles +</c:v>
                </c:pt>
              </c:strCache>
            </c:strRef>
          </c:cat>
          <c:val>
            <c:numRef>
              <c:f>'Pivot Tables'!$B$18:$B$23</c:f>
              <c:numCache>
                <c:formatCode>General</c:formatCode>
                <c:ptCount val="5"/>
                <c:pt idx="0">
                  <c:v>15</c:v>
                </c:pt>
                <c:pt idx="1">
                  <c:v>18</c:v>
                </c:pt>
                <c:pt idx="2">
                  <c:v>16</c:v>
                </c:pt>
                <c:pt idx="3">
                  <c:v>39</c:v>
                </c:pt>
                <c:pt idx="4">
                  <c:v>12</c:v>
                </c:pt>
              </c:numCache>
            </c:numRef>
          </c:val>
          <c:smooth val="0"/>
          <c:extLst>
            <c:ext xmlns:c16="http://schemas.microsoft.com/office/drawing/2014/chart" uri="{C3380CC4-5D6E-409C-BE32-E72D297353CC}">
              <c16:uniqueId val="{00000000-3CA9-456C-9401-DAE7596B3E8B}"/>
            </c:ext>
          </c:extLst>
        </c:ser>
        <c:ser>
          <c:idx val="1"/>
          <c:order val="1"/>
          <c:tx>
            <c:strRef>
              <c:f>'Pivot Tables'!$C$16:$C$17</c:f>
              <c:strCache>
                <c:ptCount val="1"/>
                <c:pt idx="0">
                  <c:v>Yes</c:v>
                </c:pt>
              </c:strCache>
            </c:strRef>
          </c:tx>
          <c:spPr>
            <a:ln w="28575" cap="rnd">
              <a:solidFill>
                <a:schemeClr val="accent2"/>
              </a:solidFill>
              <a:round/>
            </a:ln>
            <a:effectLst/>
          </c:spPr>
          <c:marker>
            <c:symbol val="none"/>
          </c:marker>
          <c:cat>
            <c:strRef>
              <c:f>'Pivot Tables'!$A$18:$A$23</c:f>
              <c:strCache>
                <c:ptCount val="5"/>
                <c:pt idx="0">
                  <c:v>0-1 Miles</c:v>
                </c:pt>
                <c:pt idx="1">
                  <c:v>1-2 Miles</c:v>
                </c:pt>
                <c:pt idx="2">
                  <c:v>2-5 Miles</c:v>
                </c:pt>
                <c:pt idx="3">
                  <c:v>5-10 Miles</c:v>
                </c:pt>
                <c:pt idx="4">
                  <c:v>10 Miles +</c:v>
                </c:pt>
              </c:strCache>
            </c:strRef>
          </c:cat>
          <c:val>
            <c:numRef>
              <c:f>'Pivot Tables'!$C$18:$C$23</c:f>
              <c:numCache>
                <c:formatCode>General</c:formatCode>
                <c:ptCount val="5"/>
                <c:pt idx="0">
                  <c:v>20</c:v>
                </c:pt>
                <c:pt idx="1">
                  <c:v>18</c:v>
                </c:pt>
                <c:pt idx="2">
                  <c:v>13</c:v>
                </c:pt>
                <c:pt idx="3">
                  <c:v>19</c:v>
                </c:pt>
                <c:pt idx="4">
                  <c:v>9</c:v>
                </c:pt>
              </c:numCache>
            </c:numRef>
          </c:val>
          <c:smooth val="0"/>
          <c:extLst>
            <c:ext xmlns:c16="http://schemas.microsoft.com/office/drawing/2014/chart" uri="{C3380CC4-5D6E-409C-BE32-E72D297353CC}">
              <c16:uniqueId val="{00000003-EDD8-4402-BC4F-DB489152CA44}"/>
            </c:ext>
          </c:extLst>
        </c:ser>
        <c:dLbls>
          <c:showLegendKey val="0"/>
          <c:showVal val="0"/>
          <c:showCatName val="0"/>
          <c:showSerName val="0"/>
          <c:showPercent val="0"/>
          <c:showBubbleSize val="0"/>
        </c:dLbls>
        <c:smooth val="0"/>
        <c:axId val="618471936"/>
        <c:axId val="618475296"/>
      </c:lineChart>
      <c:catAx>
        <c:axId val="618471936"/>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Distance</a:t>
                </a:r>
              </a:p>
            </c:rich>
          </c:tx>
          <c:layout>
            <c:manualLayout>
              <c:xMode val="edge"/>
              <c:yMode val="edge"/>
              <c:x val="0.42884286986035014"/>
              <c:y val="0.8956498023166826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200" b="0" i="0" u="none" strike="noStrike" kern="1200" baseline="0">
                <a:solidFill>
                  <a:schemeClr val="tx1">
                    <a:lumMod val="65000"/>
                    <a:lumOff val="35000"/>
                  </a:schemeClr>
                </a:solidFill>
                <a:latin typeface="+mn-lt"/>
                <a:ea typeface="+mn-ea"/>
                <a:cs typeface="+mn-cs"/>
              </a:defRPr>
            </a:pPr>
            <a:endParaRPr lang="en-US"/>
          </a:p>
        </c:txPr>
        <c:crossAx val="618475296"/>
        <c:crosses val="autoZero"/>
        <c:auto val="1"/>
        <c:lblAlgn val="ctr"/>
        <c:lblOffset val="100"/>
        <c:noMultiLvlLbl val="0"/>
      </c:catAx>
      <c:valAx>
        <c:axId val="618475296"/>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sz="1200">
                    <a:solidFill>
                      <a:schemeClr val="tx1"/>
                    </a:solidFill>
                  </a:rPr>
                  <a:t>Count</a:t>
                </a:r>
                <a:r>
                  <a:rPr lang="en-US" sz="1200" baseline="0">
                    <a:solidFill>
                      <a:schemeClr val="tx1"/>
                    </a:solidFill>
                  </a:rPr>
                  <a:t> of purchase</a:t>
                </a:r>
              </a:p>
            </c:rich>
          </c:tx>
          <c:layout>
            <c:manualLayout>
              <c:xMode val="edge"/>
              <c:yMode val="edge"/>
              <c:x val="3.2544143834881675E-2"/>
              <c:y val="0.1702140748031496"/>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rtl="0">
              <a:defRPr lang="en-US" sz="1200" b="0" i="0" u="none" strike="noStrike" kern="1200" baseline="0">
                <a:solidFill>
                  <a:schemeClr val="tx1">
                    <a:lumMod val="65000"/>
                    <a:lumOff val="35000"/>
                  </a:schemeClr>
                </a:solidFill>
                <a:latin typeface="+mn-lt"/>
                <a:ea typeface="+mn-ea"/>
                <a:cs typeface="+mn-cs"/>
              </a:defRPr>
            </a:pPr>
            <a:endParaRPr lang="en-US"/>
          </a:p>
        </c:txPr>
        <c:crossAx val="618471936"/>
        <c:crosses val="autoZero"/>
        <c:crossBetween val="between"/>
      </c:valAx>
      <c:spPr>
        <a:noFill/>
        <a:ln>
          <a:noFill/>
        </a:ln>
        <a:effectLst/>
      </c:spPr>
    </c:plotArea>
    <c:legend>
      <c:legendPos val="r"/>
      <c:layout>
        <c:manualLayout>
          <c:xMode val="edge"/>
          <c:yMode val="edge"/>
          <c:x val="0.87539981078134654"/>
          <c:y val="0.39264010820423551"/>
          <c:w val="9.5741360128843267E-2"/>
          <c:h val="0.139047421935293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304800</xdr:colOff>
      <xdr:row>0</xdr:row>
      <xdr:rowOff>152400</xdr:rowOff>
    </xdr:from>
    <xdr:to>
      <xdr:col>10</xdr:col>
      <xdr:colOff>297180</xdr:colOff>
      <xdr:row>13</xdr:row>
      <xdr:rowOff>7620</xdr:rowOff>
    </xdr:to>
    <xdr:graphicFrame macro="">
      <xdr:nvGraphicFramePr>
        <xdr:cNvPr id="2" name="Chart 1">
          <a:extLst>
            <a:ext uri="{FF2B5EF4-FFF2-40B4-BE49-F238E27FC236}">
              <a16:creationId xmlns:a16="http://schemas.microsoft.com/office/drawing/2014/main" id="{CBF787D9-6E19-76D1-8656-37402CF0A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236220</xdr:colOff>
      <xdr:row>15</xdr:row>
      <xdr:rowOff>0</xdr:rowOff>
    </xdr:from>
    <xdr:to>
      <xdr:col>11</xdr:col>
      <xdr:colOff>30480</xdr:colOff>
      <xdr:row>26</xdr:row>
      <xdr:rowOff>30480</xdr:rowOff>
    </xdr:to>
    <xdr:graphicFrame macro="">
      <xdr:nvGraphicFramePr>
        <xdr:cNvPr id="3" name="Chart 2">
          <a:extLst>
            <a:ext uri="{FF2B5EF4-FFF2-40B4-BE49-F238E27FC236}">
              <a16:creationId xmlns:a16="http://schemas.microsoft.com/office/drawing/2014/main" id="{F3736405-8D34-6F7D-3A72-2C5796BB2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320040</xdr:colOff>
      <xdr:row>28</xdr:row>
      <xdr:rowOff>133350</xdr:rowOff>
    </xdr:from>
    <xdr:to>
      <xdr:col>9</xdr:col>
      <xdr:colOff>487680</xdr:colOff>
      <xdr:row>40</xdr:row>
      <xdr:rowOff>129540</xdr:rowOff>
    </xdr:to>
    <xdr:graphicFrame macro="">
      <xdr:nvGraphicFramePr>
        <xdr:cNvPr id="4" name="Chart 3">
          <a:extLst>
            <a:ext uri="{FF2B5EF4-FFF2-40B4-BE49-F238E27FC236}">
              <a16:creationId xmlns:a16="http://schemas.microsoft.com/office/drawing/2014/main" id="{CCCB34DF-0F93-2F39-1260-72697A03C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137160</xdr:colOff>
      <xdr:row>4</xdr:row>
      <xdr:rowOff>99060</xdr:rowOff>
    </xdr:from>
    <xdr:to>
      <xdr:col>18</xdr:col>
      <xdr:colOff>137160</xdr:colOff>
      <xdr:row>18</xdr:row>
      <xdr:rowOff>5715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DF10450E-602E-501E-F592-48A15E71844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0507980" y="830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18</xdr:row>
      <xdr:rowOff>30480</xdr:rowOff>
    </xdr:from>
    <xdr:to>
      <xdr:col>15</xdr:col>
      <xdr:colOff>0</xdr:colOff>
      <xdr:row>31</xdr:row>
      <xdr:rowOff>120015</xdr:rowOff>
    </xdr:to>
    <mc:AlternateContent xmlns:mc="http://schemas.openxmlformats.org/markup-compatibility/2006" xmlns:a14="http://schemas.microsoft.com/office/drawing/2010/main">
      <mc:Choice Requires="a14">
        <xdr:graphicFrame macro="">
          <xdr:nvGraphicFramePr>
            <xdr:cNvPr id="6" name="Occupation">
              <a:extLst>
                <a:ext uri="{FF2B5EF4-FFF2-40B4-BE49-F238E27FC236}">
                  <a16:creationId xmlns:a16="http://schemas.microsoft.com/office/drawing/2014/main" id="{8319369A-FC07-CF6C-4310-2E05BF93E99B}"/>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8542020" y="3322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594360</xdr:colOff>
      <xdr:row>4</xdr:row>
      <xdr:rowOff>22860</xdr:rowOff>
    </xdr:from>
    <xdr:to>
      <xdr:col>14</xdr:col>
      <xdr:colOff>594360</xdr:colOff>
      <xdr:row>17</xdr:row>
      <xdr:rowOff>112395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A5A7DFA-203A-B432-B909-8233F44D84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26780" y="754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205740</xdr:colOff>
      <xdr:row>19</xdr:row>
      <xdr:rowOff>22860</xdr:rowOff>
    </xdr:from>
    <xdr:to>
      <xdr:col>18</xdr:col>
      <xdr:colOff>205740</xdr:colOff>
      <xdr:row>32</xdr:row>
      <xdr:rowOff>112395</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5E7244EF-754E-4B8F-F68D-596ECBD7388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576560" y="3497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21464</xdr:rowOff>
    </xdr:from>
    <xdr:to>
      <xdr:col>16</xdr:col>
      <xdr:colOff>381000</xdr:colOff>
      <xdr:row>42</xdr:row>
      <xdr:rowOff>76200</xdr:rowOff>
    </xdr:to>
    <xdr:grpSp>
      <xdr:nvGrpSpPr>
        <xdr:cNvPr id="10" name="Group 9">
          <a:extLst>
            <a:ext uri="{FF2B5EF4-FFF2-40B4-BE49-F238E27FC236}">
              <a16:creationId xmlns:a16="http://schemas.microsoft.com/office/drawing/2014/main" id="{C9EE3B12-6C16-A4E8-DC22-57363A0B5273}"/>
            </a:ext>
          </a:extLst>
        </xdr:cNvPr>
        <xdr:cNvGrpSpPr/>
      </xdr:nvGrpSpPr>
      <xdr:grpSpPr>
        <a:xfrm>
          <a:off x="0" y="1114768"/>
          <a:ext cx="10187609" cy="6614562"/>
          <a:chOff x="0" y="1118744"/>
          <a:chExt cx="10134600" cy="6638416"/>
        </a:xfrm>
      </xdr:grpSpPr>
      <xdr:graphicFrame macro="">
        <xdr:nvGraphicFramePr>
          <xdr:cNvPr id="2" name="Chart 1">
            <a:extLst>
              <a:ext uri="{FF2B5EF4-FFF2-40B4-BE49-F238E27FC236}">
                <a16:creationId xmlns:a16="http://schemas.microsoft.com/office/drawing/2014/main" id="{83FF9A80-BE45-46F0-BD27-61923795E61A}"/>
              </a:ext>
            </a:extLst>
          </xdr:cNvPr>
          <xdr:cNvGraphicFramePr>
            <a:graphicFrameLocks/>
          </xdr:cNvGraphicFramePr>
        </xdr:nvGraphicFramePr>
        <xdr:xfrm>
          <a:off x="5432094" y="1150940"/>
          <a:ext cx="4702506" cy="25219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7A1E680D-ED64-46B5-B561-3E8D2E3739F3}"/>
              </a:ext>
            </a:extLst>
          </xdr:cNvPr>
          <xdr:cNvGraphicFramePr>
            <a:graphicFrameLocks/>
          </xdr:cNvGraphicFramePr>
        </xdr:nvGraphicFramePr>
        <xdr:xfrm>
          <a:off x="0" y="1118744"/>
          <a:ext cx="5684519" cy="339229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0ED75339-00BE-4AB6-B845-9A99B378B40C}"/>
              </a:ext>
            </a:extLst>
          </xdr:cNvPr>
          <xdr:cNvGraphicFramePr>
            <a:graphicFrameLocks/>
          </xdr:cNvGraphicFramePr>
        </xdr:nvGraphicFramePr>
        <xdr:xfrm>
          <a:off x="0" y="4663440"/>
          <a:ext cx="5593080" cy="3093720"/>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B2EF6149-1AD2-4B61-83F9-0CB486A37696}"/>
                  </a:ext>
                </a:extLst>
              </xdr:cNvPr>
              <xdr:cNvGraphicFramePr/>
            </xdr:nvGraphicFramePr>
            <xdr:xfrm>
              <a:off x="7881140" y="5890584"/>
              <a:ext cx="2008245" cy="1805616"/>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922362" y="5869461"/>
                <a:ext cx="2018749" cy="17991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Marital Status 1">
                <a:extLst>
                  <a:ext uri="{FF2B5EF4-FFF2-40B4-BE49-F238E27FC236}">
                    <a16:creationId xmlns:a16="http://schemas.microsoft.com/office/drawing/2014/main" id="{FE62DA46-8C59-455B-B72A-ECA69333FBE9}"/>
                  </a:ext>
                </a:extLst>
              </xdr:cNvPr>
              <xdr:cNvGraphicFramePr/>
            </xdr:nvGraphicFramePr>
            <xdr:xfrm>
              <a:off x="7876290" y="4069081"/>
              <a:ext cx="2000518" cy="1676399"/>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7876290" y="4069081"/>
                <a:ext cx="2000518" cy="1676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Occupation 1">
                <a:extLst>
                  <a:ext uri="{FF2B5EF4-FFF2-40B4-BE49-F238E27FC236}">
                    <a16:creationId xmlns:a16="http://schemas.microsoft.com/office/drawing/2014/main" id="{C08D1DD9-5D59-4F39-9377-0ED469D84DAD}"/>
                  </a:ext>
                </a:extLst>
              </xdr:cNvPr>
              <xdr:cNvGraphicFramePr/>
            </xdr:nvGraphicFramePr>
            <xdr:xfrm>
              <a:off x="5769951" y="4073160"/>
              <a:ext cx="1911010" cy="167232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5769951" y="4073160"/>
                <a:ext cx="1911010" cy="1672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Education 1">
                <a:extLst>
                  <a:ext uri="{FF2B5EF4-FFF2-40B4-BE49-F238E27FC236}">
                    <a16:creationId xmlns:a16="http://schemas.microsoft.com/office/drawing/2014/main" id="{58325FEA-2300-4A15-807E-BB55F720101F}"/>
                  </a:ext>
                </a:extLst>
              </xdr:cNvPr>
              <xdr:cNvGraphicFramePr/>
            </xdr:nvGraphicFramePr>
            <xdr:xfrm>
              <a:off x="5745480" y="5897881"/>
              <a:ext cx="1920240" cy="176784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5745480" y="5897881"/>
                <a:ext cx="1920240" cy="1767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i" refreshedDate="46198.781856250003" createdVersion="8" refreshedVersion="8" minRefreshableVersion="3" recordCount="1000" xr:uid="{2307C006-D05F-4AA3-BFD5-3F26F7F63DF3}">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35-55"/>
        <s v="Senior Above 54"/>
        <s v="Young People 0-35"/>
        <s v="Middle Age" u="1"/>
        <s v="Senior" u="1"/>
        <s v="Young People" u="1"/>
      </sharedItems>
    </cacheField>
    <cacheField name="Purchased Bike" numFmtId="0">
      <sharedItems count="2">
        <s v="No"/>
        <s v="Yes"/>
      </sharedItems>
    </cacheField>
  </cacheFields>
  <extLst>
    <ext xmlns:x14="http://schemas.microsoft.com/office/spreadsheetml/2009/9/main" uri="{725AE2AE-9491-48be-B2B4-4EB974FC3084}">
      <x14:pivotCacheDefinition pivotCacheId="1641048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2"/>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2"/>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2"/>
    <x v="1"/>
  </r>
  <r>
    <n v="19273"/>
    <x v="0"/>
    <x v="0"/>
    <n v="20000"/>
    <n v="2"/>
    <x v="1"/>
    <x v="3"/>
    <s v="Yes"/>
    <n v="0"/>
    <x v="0"/>
    <x v="0"/>
    <n v="63"/>
    <x v="1"/>
    <x v="0"/>
  </r>
  <r>
    <n v="22400"/>
    <x v="0"/>
    <x v="1"/>
    <n v="10000"/>
    <n v="0"/>
    <x v="1"/>
    <x v="3"/>
    <s v="No"/>
    <n v="1"/>
    <x v="0"/>
    <x v="1"/>
    <n v="26"/>
    <x v="2"/>
    <x v="1"/>
  </r>
  <r>
    <n v="20942"/>
    <x v="1"/>
    <x v="0"/>
    <n v="20000"/>
    <n v="0"/>
    <x v="2"/>
    <x v="3"/>
    <s v="No"/>
    <n v="1"/>
    <x v="2"/>
    <x v="0"/>
    <n v="31"/>
    <x v="2"/>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2"/>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2"/>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2"/>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2"/>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2"/>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2"/>
    <x v="0"/>
  </r>
  <r>
    <n v="20877"/>
    <x v="1"/>
    <x v="1"/>
    <n v="30000"/>
    <n v="1"/>
    <x v="0"/>
    <x v="1"/>
    <s v="Yes"/>
    <n v="0"/>
    <x v="3"/>
    <x v="0"/>
    <n v="37"/>
    <x v="0"/>
    <x v="1"/>
  </r>
  <r>
    <n v="20729"/>
    <x v="0"/>
    <x v="0"/>
    <n v="40000"/>
    <n v="2"/>
    <x v="1"/>
    <x v="1"/>
    <s v="No"/>
    <n v="1"/>
    <x v="0"/>
    <x v="0"/>
    <n v="34"/>
    <x v="2"/>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2"/>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2"/>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2"/>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2"/>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2"/>
    <x v="1"/>
  </r>
  <r>
    <n v="24584"/>
    <x v="1"/>
    <x v="1"/>
    <n v="60000"/>
    <n v="0"/>
    <x v="0"/>
    <x v="2"/>
    <s v="No"/>
    <n v="3"/>
    <x v="1"/>
    <x v="1"/>
    <n v="31"/>
    <x v="2"/>
    <x v="0"/>
  </r>
  <r>
    <n v="12585"/>
    <x v="0"/>
    <x v="1"/>
    <n v="10000"/>
    <n v="1"/>
    <x v="2"/>
    <x v="3"/>
    <s v="Yes"/>
    <n v="0"/>
    <x v="1"/>
    <x v="1"/>
    <n v="27"/>
    <x v="2"/>
    <x v="1"/>
  </r>
  <r>
    <n v="18626"/>
    <x v="1"/>
    <x v="1"/>
    <n v="40000"/>
    <n v="2"/>
    <x v="1"/>
    <x v="1"/>
    <s v="Yes"/>
    <n v="0"/>
    <x v="3"/>
    <x v="0"/>
    <n v="33"/>
    <x v="2"/>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2"/>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2"/>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2"/>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2"/>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2"/>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2"/>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2"/>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2"/>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2"/>
    <x v="0"/>
  </r>
  <r>
    <n v="29424"/>
    <x v="0"/>
    <x v="1"/>
    <n v="10000"/>
    <n v="0"/>
    <x v="3"/>
    <x v="3"/>
    <s v="Yes"/>
    <n v="2"/>
    <x v="0"/>
    <x v="0"/>
    <n v="32"/>
    <x v="2"/>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2"/>
    <x v="1"/>
  </r>
  <r>
    <n v="19183"/>
    <x v="1"/>
    <x v="1"/>
    <n v="10000"/>
    <n v="0"/>
    <x v="3"/>
    <x v="3"/>
    <s v="Yes"/>
    <n v="2"/>
    <x v="3"/>
    <x v="0"/>
    <n v="35"/>
    <x v="0"/>
    <x v="0"/>
  </r>
  <r>
    <n v="13683"/>
    <x v="1"/>
    <x v="0"/>
    <n v="30000"/>
    <n v="0"/>
    <x v="2"/>
    <x v="3"/>
    <s v="No"/>
    <n v="1"/>
    <x v="1"/>
    <x v="0"/>
    <n v="32"/>
    <x v="2"/>
    <x v="0"/>
  </r>
  <r>
    <n v="17848"/>
    <x v="1"/>
    <x v="1"/>
    <n v="30000"/>
    <n v="0"/>
    <x v="1"/>
    <x v="1"/>
    <s v="No"/>
    <n v="1"/>
    <x v="1"/>
    <x v="0"/>
    <n v="31"/>
    <x v="2"/>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2"/>
    <x v="0"/>
  </r>
  <r>
    <n v="23608"/>
    <x v="0"/>
    <x v="0"/>
    <n v="150000"/>
    <n v="3"/>
    <x v="2"/>
    <x v="2"/>
    <s v="Yes"/>
    <n v="3"/>
    <x v="0"/>
    <x v="0"/>
    <n v="51"/>
    <x v="0"/>
    <x v="1"/>
  </r>
  <r>
    <n v="22538"/>
    <x v="1"/>
    <x v="0"/>
    <n v="10000"/>
    <n v="0"/>
    <x v="3"/>
    <x v="3"/>
    <s v="Yes"/>
    <n v="2"/>
    <x v="3"/>
    <x v="0"/>
    <n v="33"/>
    <x v="2"/>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2"/>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2"/>
    <x v="1"/>
  </r>
  <r>
    <n v="13690"/>
    <x v="1"/>
    <x v="0"/>
    <n v="20000"/>
    <n v="0"/>
    <x v="3"/>
    <x v="3"/>
    <s v="No"/>
    <n v="2"/>
    <x v="3"/>
    <x v="0"/>
    <n v="34"/>
    <x v="2"/>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2"/>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2"/>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2"/>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2"/>
    <x v="1"/>
  </r>
  <r>
    <n v="27169"/>
    <x v="1"/>
    <x v="1"/>
    <n v="30000"/>
    <n v="0"/>
    <x v="2"/>
    <x v="3"/>
    <s v="Yes"/>
    <n v="1"/>
    <x v="1"/>
    <x v="0"/>
    <n v="34"/>
    <x v="2"/>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2"/>
    <x v="0"/>
  </r>
  <r>
    <n v="15019"/>
    <x v="1"/>
    <x v="0"/>
    <n v="30000"/>
    <n v="3"/>
    <x v="2"/>
    <x v="0"/>
    <s v="Yes"/>
    <n v="2"/>
    <x v="2"/>
    <x v="1"/>
    <n v="55"/>
    <x v="1"/>
    <x v="0"/>
  </r>
  <r>
    <n v="28488"/>
    <x v="1"/>
    <x v="1"/>
    <n v="20000"/>
    <n v="0"/>
    <x v="1"/>
    <x v="3"/>
    <s v="Yes"/>
    <n v="0"/>
    <x v="0"/>
    <x v="1"/>
    <n v="28"/>
    <x v="2"/>
    <x v="1"/>
  </r>
  <r>
    <n v="21891"/>
    <x v="0"/>
    <x v="0"/>
    <n v="110000"/>
    <n v="0"/>
    <x v="2"/>
    <x v="4"/>
    <s v="Yes"/>
    <n v="3"/>
    <x v="4"/>
    <x v="1"/>
    <n v="34"/>
    <x v="2"/>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2"/>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2"/>
    <x v="0"/>
  </r>
  <r>
    <n v="25307"/>
    <x v="0"/>
    <x v="0"/>
    <n v="40000"/>
    <n v="1"/>
    <x v="0"/>
    <x v="0"/>
    <s v="Yes"/>
    <n v="1"/>
    <x v="3"/>
    <x v="0"/>
    <n v="32"/>
    <x v="2"/>
    <x v="1"/>
  </r>
  <r>
    <n v="14278"/>
    <x v="0"/>
    <x v="0"/>
    <n v="130000"/>
    <n v="0"/>
    <x v="4"/>
    <x v="4"/>
    <s v="Yes"/>
    <n v="1"/>
    <x v="4"/>
    <x v="1"/>
    <n v="48"/>
    <x v="0"/>
    <x v="0"/>
  </r>
  <r>
    <n v="20711"/>
    <x v="0"/>
    <x v="0"/>
    <n v="40000"/>
    <n v="1"/>
    <x v="0"/>
    <x v="0"/>
    <s v="Yes"/>
    <n v="0"/>
    <x v="3"/>
    <x v="0"/>
    <n v="32"/>
    <x v="2"/>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2"/>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2"/>
    <x v="1"/>
  </r>
  <r>
    <n v="21554"/>
    <x v="1"/>
    <x v="0"/>
    <n v="80000"/>
    <n v="0"/>
    <x v="0"/>
    <x v="2"/>
    <s v="No"/>
    <n v="3"/>
    <x v="4"/>
    <x v="1"/>
    <n v="33"/>
    <x v="2"/>
    <x v="0"/>
  </r>
  <r>
    <n v="13662"/>
    <x v="1"/>
    <x v="1"/>
    <n v="20000"/>
    <n v="0"/>
    <x v="3"/>
    <x v="3"/>
    <s v="Yes"/>
    <n v="2"/>
    <x v="3"/>
    <x v="0"/>
    <n v="31"/>
    <x v="2"/>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2"/>
    <x v="1"/>
  </r>
  <r>
    <n v="18294"/>
    <x v="0"/>
    <x v="0"/>
    <n v="90000"/>
    <n v="1"/>
    <x v="0"/>
    <x v="2"/>
    <s v="Yes"/>
    <n v="1"/>
    <x v="2"/>
    <x v="1"/>
    <n v="46"/>
    <x v="0"/>
    <x v="0"/>
  </r>
  <r>
    <n v="28564"/>
    <x v="1"/>
    <x v="0"/>
    <n v="40000"/>
    <n v="2"/>
    <x v="1"/>
    <x v="1"/>
    <s v="Yes"/>
    <n v="0"/>
    <x v="3"/>
    <x v="0"/>
    <n v="33"/>
    <x v="2"/>
    <x v="1"/>
  </r>
  <r>
    <n v="28521"/>
    <x v="1"/>
    <x v="1"/>
    <n v="40000"/>
    <n v="0"/>
    <x v="4"/>
    <x v="1"/>
    <s v="No"/>
    <n v="0"/>
    <x v="0"/>
    <x v="0"/>
    <n v="36"/>
    <x v="0"/>
    <x v="1"/>
  </r>
  <r>
    <n v="15450"/>
    <x v="0"/>
    <x v="1"/>
    <n v="10000"/>
    <n v="1"/>
    <x v="4"/>
    <x v="1"/>
    <s v="Yes"/>
    <n v="0"/>
    <x v="0"/>
    <x v="0"/>
    <n v="70"/>
    <x v="1"/>
    <x v="0"/>
  </r>
  <r>
    <n v="25681"/>
    <x v="1"/>
    <x v="0"/>
    <n v="30000"/>
    <n v="0"/>
    <x v="1"/>
    <x v="1"/>
    <s v="No"/>
    <n v="1"/>
    <x v="1"/>
    <x v="0"/>
    <n v="31"/>
    <x v="2"/>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2"/>
    <x v="0"/>
  </r>
  <r>
    <n v="27835"/>
    <x v="0"/>
    <x v="1"/>
    <n v="20000"/>
    <n v="0"/>
    <x v="3"/>
    <x v="3"/>
    <s v="Yes"/>
    <n v="2"/>
    <x v="0"/>
    <x v="0"/>
    <n v="32"/>
    <x v="2"/>
    <x v="0"/>
  </r>
  <r>
    <n v="11738"/>
    <x v="0"/>
    <x v="1"/>
    <n v="60000"/>
    <n v="4"/>
    <x v="0"/>
    <x v="2"/>
    <s v="Yes"/>
    <n v="0"/>
    <x v="1"/>
    <x v="2"/>
    <n v="46"/>
    <x v="0"/>
    <x v="0"/>
  </r>
  <r>
    <n v="25065"/>
    <x v="0"/>
    <x v="1"/>
    <n v="70000"/>
    <n v="2"/>
    <x v="3"/>
    <x v="0"/>
    <s v="Yes"/>
    <n v="2"/>
    <x v="2"/>
    <x v="2"/>
    <n v="48"/>
    <x v="0"/>
    <x v="0"/>
  </r>
  <r>
    <n v="26238"/>
    <x v="1"/>
    <x v="0"/>
    <n v="40000"/>
    <n v="3"/>
    <x v="1"/>
    <x v="1"/>
    <s v="Yes"/>
    <n v="1"/>
    <x v="3"/>
    <x v="2"/>
    <n v="31"/>
    <x v="2"/>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2"/>
    <x v="1"/>
  </r>
  <r>
    <n v="26012"/>
    <x v="0"/>
    <x v="1"/>
    <n v="80000"/>
    <n v="1"/>
    <x v="1"/>
    <x v="0"/>
    <s v="Yes"/>
    <n v="1"/>
    <x v="1"/>
    <x v="2"/>
    <n v="48"/>
    <x v="0"/>
    <x v="1"/>
  </r>
  <r>
    <n v="26575"/>
    <x v="1"/>
    <x v="0"/>
    <n v="40000"/>
    <n v="0"/>
    <x v="2"/>
    <x v="0"/>
    <s v="No"/>
    <n v="2"/>
    <x v="3"/>
    <x v="2"/>
    <n v="31"/>
    <x v="2"/>
    <x v="1"/>
  </r>
  <r>
    <n v="15559"/>
    <x v="0"/>
    <x v="1"/>
    <n v="60000"/>
    <n v="5"/>
    <x v="0"/>
    <x v="2"/>
    <s v="Yes"/>
    <n v="1"/>
    <x v="1"/>
    <x v="2"/>
    <n v="47"/>
    <x v="0"/>
    <x v="0"/>
  </r>
  <r>
    <n v="19235"/>
    <x v="0"/>
    <x v="0"/>
    <n v="50000"/>
    <n v="0"/>
    <x v="4"/>
    <x v="0"/>
    <s v="Yes"/>
    <n v="0"/>
    <x v="0"/>
    <x v="2"/>
    <n v="34"/>
    <x v="2"/>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2"/>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2"/>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2"/>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2"/>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2"/>
    <x v="1"/>
  </r>
  <r>
    <n v="13388"/>
    <x v="1"/>
    <x v="1"/>
    <n v="60000"/>
    <n v="2"/>
    <x v="1"/>
    <x v="2"/>
    <s v="Yes"/>
    <n v="1"/>
    <x v="4"/>
    <x v="2"/>
    <n v="56"/>
    <x v="1"/>
    <x v="0"/>
  </r>
  <r>
    <n v="18752"/>
    <x v="1"/>
    <x v="0"/>
    <n v="40000"/>
    <n v="0"/>
    <x v="2"/>
    <x v="0"/>
    <s v="Yes"/>
    <n v="1"/>
    <x v="2"/>
    <x v="2"/>
    <n v="31"/>
    <x v="2"/>
    <x v="0"/>
  </r>
  <r>
    <n v="16917"/>
    <x v="0"/>
    <x v="1"/>
    <n v="120000"/>
    <n v="1"/>
    <x v="0"/>
    <x v="4"/>
    <s v="Yes"/>
    <n v="4"/>
    <x v="0"/>
    <x v="2"/>
    <n v="38"/>
    <x v="0"/>
    <x v="0"/>
  </r>
  <r>
    <n v="15313"/>
    <x v="0"/>
    <x v="1"/>
    <n v="60000"/>
    <n v="4"/>
    <x v="0"/>
    <x v="4"/>
    <s v="Yes"/>
    <n v="2"/>
    <x v="1"/>
    <x v="2"/>
    <n v="59"/>
    <x v="1"/>
    <x v="0"/>
  </r>
  <r>
    <n v="25329"/>
    <x v="1"/>
    <x v="0"/>
    <n v="40000"/>
    <n v="3"/>
    <x v="1"/>
    <x v="1"/>
    <s v="No"/>
    <n v="2"/>
    <x v="0"/>
    <x v="2"/>
    <n v="32"/>
    <x v="2"/>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2"/>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2"/>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2"/>
    <x v="1"/>
  </r>
  <r>
    <n v="11287"/>
    <x v="0"/>
    <x v="1"/>
    <n v="70000"/>
    <n v="5"/>
    <x v="1"/>
    <x v="2"/>
    <s v="No"/>
    <n v="3"/>
    <x v="2"/>
    <x v="2"/>
    <n v="45"/>
    <x v="0"/>
    <x v="0"/>
  </r>
  <r>
    <n v="13066"/>
    <x v="1"/>
    <x v="1"/>
    <n v="30000"/>
    <n v="0"/>
    <x v="2"/>
    <x v="0"/>
    <s v="No"/>
    <n v="2"/>
    <x v="3"/>
    <x v="2"/>
    <n v="31"/>
    <x v="2"/>
    <x v="1"/>
  </r>
  <r>
    <n v="29106"/>
    <x v="1"/>
    <x v="1"/>
    <n v="40000"/>
    <n v="0"/>
    <x v="2"/>
    <x v="0"/>
    <s v="No"/>
    <n v="2"/>
    <x v="3"/>
    <x v="2"/>
    <n v="31"/>
    <x v="2"/>
    <x v="1"/>
  </r>
  <r>
    <n v="26236"/>
    <x v="0"/>
    <x v="0"/>
    <n v="40000"/>
    <n v="3"/>
    <x v="1"/>
    <x v="1"/>
    <s v="Yes"/>
    <n v="1"/>
    <x v="0"/>
    <x v="2"/>
    <n v="31"/>
    <x v="2"/>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2"/>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2"/>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2"/>
    <x v="0"/>
  </r>
  <r>
    <n v="29132"/>
    <x v="1"/>
    <x v="0"/>
    <n v="40000"/>
    <n v="0"/>
    <x v="0"/>
    <x v="2"/>
    <s v="Yes"/>
    <n v="1"/>
    <x v="1"/>
    <x v="2"/>
    <n v="42"/>
    <x v="0"/>
    <x v="1"/>
  </r>
  <r>
    <n v="11199"/>
    <x v="0"/>
    <x v="0"/>
    <n v="70000"/>
    <n v="4"/>
    <x v="0"/>
    <x v="4"/>
    <s v="Yes"/>
    <n v="1"/>
    <x v="4"/>
    <x v="2"/>
    <n v="59"/>
    <x v="1"/>
    <x v="0"/>
  </r>
  <r>
    <n v="20296"/>
    <x v="1"/>
    <x v="0"/>
    <n v="60000"/>
    <n v="0"/>
    <x v="1"/>
    <x v="0"/>
    <s v="No"/>
    <n v="1"/>
    <x v="3"/>
    <x v="2"/>
    <n v="33"/>
    <x v="2"/>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2"/>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2"/>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2"/>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2"/>
    <x v="1"/>
  </r>
  <r>
    <n v="25908"/>
    <x v="0"/>
    <x v="0"/>
    <n v="60000"/>
    <n v="0"/>
    <x v="1"/>
    <x v="0"/>
    <s v="No"/>
    <n v="1"/>
    <x v="3"/>
    <x v="2"/>
    <n v="27"/>
    <x v="2"/>
    <x v="0"/>
  </r>
  <r>
    <n v="16753"/>
    <x v="1"/>
    <x v="0"/>
    <n v="70000"/>
    <n v="0"/>
    <x v="1"/>
    <x v="0"/>
    <s v="Yes"/>
    <n v="2"/>
    <x v="2"/>
    <x v="2"/>
    <n v="34"/>
    <x v="2"/>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2"/>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2"/>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2"/>
    <x v="0"/>
  </r>
  <r>
    <n v="23248"/>
    <x v="0"/>
    <x v="0"/>
    <n v="10000"/>
    <n v="2"/>
    <x v="2"/>
    <x v="3"/>
    <s v="Yes"/>
    <n v="2"/>
    <x v="3"/>
    <x v="2"/>
    <n v="53"/>
    <x v="0"/>
    <x v="0"/>
  </r>
  <r>
    <n v="21417"/>
    <x v="1"/>
    <x v="0"/>
    <n v="60000"/>
    <n v="0"/>
    <x v="1"/>
    <x v="2"/>
    <s v="No"/>
    <n v="2"/>
    <x v="3"/>
    <x v="2"/>
    <n v="32"/>
    <x v="2"/>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2"/>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2"/>
    <x v="1"/>
  </r>
  <r>
    <n v="14271"/>
    <x v="0"/>
    <x v="1"/>
    <n v="30000"/>
    <n v="0"/>
    <x v="2"/>
    <x v="0"/>
    <s v="Yes"/>
    <n v="2"/>
    <x v="2"/>
    <x v="2"/>
    <n v="32"/>
    <x v="2"/>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2"/>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2"/>
    <x v="1"/>
  </r>
  <r>
    <n v="21613"/>
    <x v="1"/>
    <x v="1"/>
    <n v="50000"/>
    <n v="2"/>
    <x v="0"/>
    <x v="0"/>
    <s v="No"/>
    <n v="1"/>
    <x v="0"/>
    <x v="2"/>
    <n v="39"/>
    <x v="0"/>
    <x v="1"/>
  </r>
  <r>
    <n v="24801"/>
    <x v="1"/>
    <x v="1"/>
    <n v="60000"/>
    <n v="1"/>
    <x v="4"/>
    <x v="2"/>
    <s v="Yes"/>
    <n v="0"/>
    <x v="1"/>
    <x v="2"/>
    <n v="35"/>
    <x v="0"/>
    <x v="1"/>
  </r>
  <r>
    <n v="17519"/>
    <x v="0"/>
    <x v="0"/>
    <n v="60000"/>
    <n v="0"/>
    <x v="1"/>
    <x v="2"/>
    <s v="Yes"/>
    <n v="2"/>
    <x v="2"/>
    <x v="2"/>
    <n v="32"/>
    <x v="2"/>
    <x v="0"/>
  </r>
  <r>
    <n v="18347"/>
    <x v="1"/>
    <x v="0"/>
    <n v="30000"/>
    <n v="0"/>
    <x v="1"/>
    <x v="0"/>
    <s v="No"/>
    <n v="1"/>
    <x v="3"/>
    <x v="2"/>
    <n v="31"/>
    <x v="2"/>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2"/>
    <x v="0"/>
  </r>
  <r>
    <n v="13714"/>
    <x v="0"/>
    <x v="0"/>
    <n v="20000"/>
    <n v="2"/>
    <x v="2"/>
    <x v="3"/>
    <s v="No"/>
    <n v="2"/>
    <x v="3"/>
    <x v="2"/>
    <n v="53"/>
    <x v="0"/>
    <x v="1"/>
  </r>
  <r>
    <n v="22330"/>
    <x v="0"/>
    <x v="1"/>
    <n v="50000"/>
    <n v="0"/>
    <x v="4"/>
    <x v="0"/>
    <s v="Yes"/>
    <n v="0"/>
    <x v="3"/>
    <x v="2"/>
    <n v="32"/>
    <x v="2"/>
    <x v="1"/>
  </r>
  <r>
    <n v="18783"/>
    <x v="1"/>
    <x v="1"/>
    <n v="80000"/>
    <n v="0"/>
    <x v="0"/>
    <x v="4"/>
    <s v="No"/>
    <n v="1"/>
    <x v="0"/>
    <x v="2"/>
    <n v="38"/>
    <x v="0"/>
    <x v="1"/>
  </r>
  <r>
    <n v="25041"/>
    <x v="1"/>
    <x v="1"/>
    <n v="40000"/>
    <n v="0"/>
    <x v="2"/>
    <x v="0"/>
    <s v="Yes"/>
    <n v="2"/>
    <x v="2"/>
    <x v="2"/>
    <n v="31"/>
    <x v="2"/>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2"/>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2"/>
    <x v="0"/>
  </r>
  <r>
    <n v="11622"/>
    <x v="0"/>
    <x v="1"/>
    <n v="50000"/>
    <n v="0"/>
    <x v="4"/>
    <x v="0"/>
    <s v="Yes"/>
    <n v="0"/>
    <x v="0"/>
    <x v="2"/>
    <n v="32"/>
    <x v="2"/>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2"/>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2"/>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2"/>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2"/>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2"/>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2"/>
    <x v="1"/>
  </r>
  <r>
    <n v="23513"/>
    <x v="0"/>
    <x v="0"/>
    <n v="40000"/>
    <n v="3"/>
    <x v="1"/>
    <x v="2"/>
    <s v="Yes"/>
    <n v="2"/>
    <x v="2"/>
    <x v="2"/>
    <n v="54"/>
    <x v="0"/>
    <x v="0"/>
  </r>
  <r>
    <n v="24322"/>
    <x v="0"/>
    <x v="0"/>
    <n v="60000"/>
    <n v="4"/>
    <x v="0"/>
    <x v="0"/>
    <s v="No"/>
    <n v="2"/>
    <x v="0"/>
    <x v="2"/>
    <n v="42"/>
    <x v="0"/>
    <x v="0"/>
  </r>
  <r>
    <n v="26298"/>
    <x v="0"/>
    <x v="0"/>
    <n v="50000"/>
    <n v="1"/>
    <x v="0"/>
    <x v="0"/>
    <s v="Yes"/>
    <n v="0"/>
    <x v="1"/>
    <x v="2"/>
    <n v="34"/>
    <x v="2"/>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2"/>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2"/>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2"/>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2"/>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1CE621-1B7F-40B7-AD64-552B238AC6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0:D35"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x="2"/>
        <item h="1" x="1"/>
        <item h="1"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7">
        <item m="1" x="3"/>
        <item m="1" x="4"/>
        <item m="1" x="5"/>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1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pivotArea type="data" outline="0" fieldPosition="0">
        <references count="3">
          <reference field="4294967294" count="1" selected="0">
            <x v="0"/>
          </reference>
          <reference field="12" count="1" selected="0">
            <x v="3"/>
          </reference>
          <reference field="13" count="1" selected="0">
            <x v="0"/>
          </reference>
        </references>
      </pivotArea>
    </chartFormat>
    <chartFormat chart="2" format="12">
      <pivotArea type="data" outline="0" fieldPosition="0">
        <references count="3">
          <reference field="4294967294" count="1" selected="0">
            <x v="0"/>
          </reference>
          <reference field="12" count="1" selected="0">
            <x v="4"/>
          </reference>
          <reference field="13" count="1" selected="0">
            <x v="0"/>
          </reference>
        </references>
      </pivotArea>
    </chartFormat>
    <chartFormat chart="2" format="13">
      <pivotArea type="data" outline="0" fieldPosition="0">
        <references count="3">
          <reference field="4294967294" count="1" selected="0">
            <x v="0"/>
          </reference>
          <reference field="12" count="1" selected="0">
            <x v="5"/>
          </reference>
          <reference field="13" count="1" selected="0">
            <x v="0"/>
          </reference>
        </references>
      </pivotArea>
    </chartFormat>
    <chartFormat chart="2" format="14" series="1">
      <pivotArea type="data" outline="0" fieldPosition="0">
        <references count="2">
          <reference field="4294967294" count="1" selected="0">
            <x v="0"/>
          </reference>
          <reference field="13" count="1" selected="0">
            <x v="1"/>
          </reference>
        </references>
      </pivotArea>
    </chartFormat>
    <chartFormat chart="2" format="15">
      <pivotArea type="data" outline="0" fieldPosition="0">
        <references count="3">
          <reference field="4294967294" count="1" selected="0">
            <x v="0"/>
          </reference>
          <reference field="12" count="1" selected="0">
            <x v="3"/>
          </reference>
          <reference field="13" count="1" selected="0">
            <x v="1"/>
          </reference>
        </references>
      </pivotArea>
    </chartFormat>
    <chartFormat chart="2" format="16">
      <pivotArea type="data" outline="0" fieldPosition="0">
        <references count="3">
          <reference field="4294967294" count="1" selected="0">
            <x v="0"/>
          </reference>
          <reference field="12" count="1" selected="0">
            <x v="4"/>
          </reference>
          <reference field="13" count="1" selected="0">
            <x v="1"/>
          </reference>
        </references>
      </pivotArea>
    </chartFormat>
    <chartFormat chart="2" format="17">
      <pivotArea type="data" outline="0" fieldPosition="0">
        <references count="3">
          <reference field="4294967294" count="1" selected="0">
            <x v="0"/>
          </reference>
          <reference field="12" count="1" selected="0">
            <x v="5"/>
          </reference>
          <reference field="13" count="1" selected="0">
            <x v="1"/>
          </reference>
        </references>
      </pivotArea>
    </chartFormat>
    <chartFormat chart="0" format="2">
      <pivotArea type="data" outline="0" fieldPosition="0">
        <references count="3">
          <reference field="4294967294" count="1" selected="0">
            <x v="0"/>
          </reference>
          <reference field="12" count="1" selected="0">
            <x v="3"/>
          </reference>
          <reference field="13" count="1" selected="0">
            <x v="0"/>
          </reference>
        </references>
      </pivotArea>
    </chartFormat>
    <chartFormat chart="0" format="3">
      <pivotArea type="data" outline="0" fieldPosition="0">
        <references count="3">
          <reference field="4294967294" count="1" selected="0">
            <x v="0"/>
          </reference>
          <reference field="12" count="1" selected="0">
            <x v="4"/>
          </reference>
          <reference field="13" count="1" selected="0">
            <x v="0"/>
          </reference>
        </references>
      </pivotArea>
    </chartFormat>
    <chartFormat chart="0" format="4">
      <pivotArea type="data" outline="0" fieldPosition="0">
        <references count="3">
          <reference field="4294967294" count="1" selected="0">
            <x v="0"/>
          </reference>
          <reference field="12" count="1" selected="0">
            <x v="5"/>
          </reference>
          <reference field="13" count="1" selected="0">
            <x v="0"/>
          </reference>
        </references>
      </pivotArea>
    </chartFormat>
    <chartFormat chart="0" format="5">
      <pivotArea type="data" outline="0" fieldPosition="0">
        <references count="3">
          <reference field="4294967294" count="1" selected="0">
            <x v="0"/>
          </reference>
          <reference field="12" count="1" selected="0">
            <x v="3"/>
          </reference>
          <reference field="13" count="1" selected="0">
            <x v="1"/>
          </reference>
        </references>
      </pivotArea>
    </chartFormat>
    <chartFormat chart="0" format="6">
      <pivotArea type="data" outline="0" fieldPosition="0">
        <references count="3">
          <reference field="4294967294" count="1" selected="0">
            <x v="0"/>
          </reference>
          <reference field="12" count="1" selected="0">
            <x v="4"/>
          </reference>
          <reference field="13" count="1" selected="0">
            <x v="1"/>
          </reference>
        </references>
      </pivotArea>
    </chartFormat>
    <chartFormat chart="0" format="7">
      <pivotArea type="data" outline="0" fieldPosition="0">
        <references count="3">
          <reference field="4294967294" count="1" selected="0">
            <x v="0"/>
          </reference>
          <reference field="12" count="1" selected="0">
            <x v="5"/>
          </reference>
          <reference field="13" count="1" selected="0">
            <x v="1"/>
          </reference>
        </references>
      </pivotArea>
    </chartFormat>
    <chartFormat chart="2" format="18"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5C2AC8-83E9-40CD-9582-1938F1C1EB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D23"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x="2"/>
        <item h="1" x="1"/>
        <item h="1"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
    <format dxfId="1">
      <pivotArea dataOnly="0" labelOnly="1" fieldPosition="0">
        <references count="1">
          <reference field="9" count="0"/>
        </references>
      </pivotArea>
    </format>
  </format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7794E3-D816-4F2A-B84B-0FF24D040D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1">
    <format dxfId="2">
      <pivotArea outline="0" collapsedLevelsAreSubtotals="1" fieldPosition="0"/>
    </format>
  </format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322D4A9-1885-4790-8E79-F9FCFE47EB12}" sourceName="Marital Status">
  <pivotTables>
    <pivotTable tabId="2" name="PivotTable1"/>
    <pivotTable tabId="2" name="PivotTable2"/>
    <pivotTable tabId="2" name="PivotTable3"/>
  </pivotTables>
  <data>
    <tabular pivotCacheId="164104859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2A52703-AF21-4E89-BDD5-21B3E4FEC3D9}" sourceName="Occupation">
  <pivotTables>
    <pivotTable tabId="2" name="PivotTable1"/>
    <pivotTable tabId="2" name="PivotTable2"/>
    <pivotTable tabId="2" name="PivotTable3"/>
  </pivotTables>
  <data>
    <tabular pivotCacheId="1641048591">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806C5F-0F94-4EE5-A85B-4FFC8A632B52}" sourceName="Region">
  <pivotTables>
    <pivotTable tabId="2" name="PivotTable1"/>
    <pivotTable tabId="2" name="PivotTable2"/>
    <pivotTable tabId="2" name="PivotTable3"/>
  </pivotTables>
  <data>
    <tabular pivotCacheId="164104859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3BCF42F-A9FD-4BF0-B010-D73F3CC7D6DA}" sourceName="Education">
  <pivotTables>
    <pivotTable tabId="2" name="PivotTable1"/>
    <pivotTable tabId="2" name="PivotTable2"/>
    <pivotTable tabId="2" name="PivotTable3"/>
  </pivotTables>
  <data>
    <tabular pivotCacheId="1641048591">
      <items count="5">
        <i x="0"/>
        <i x="4"/>
        <i x="2"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401301B-CD59-4C0B-AC55-8A8B29C44790}" cache="Slicer_Marital_Status" caption="Marital Status" rowHeight="234950"/>
  <slicer name="Occupation" xr10:uid="{CA479EF5-1ACB-4D90-BC5A-17B3221351E6}" cache="Slicer_Occupation" caption="Occupation" rowHeight="234950"/>
  <slicer name="Region" xr10:uid="{6591727C-ECCB-42D2-ADE6-D4C0969F776E}" cache="Slicer_Region" caption="Region" rowHeight="234950"/>
  <slicer name="Education" xr10:uid="{B84E43A0-861B-40C4-B6F2-73C08CCF805D}" cache="Slicer_Education" caption="Educa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AC076249-1A94-4F3B-83EE-3426832557CD}" cache="Slicer_Marital_Status" caption="Marital Status" rowHeight="234950"/>
  <slicer name="Occupation 1" xr10:uid="{9BC8BF4C-50B6-4E82-AC93-62BF9E9D29B7}" cache="Slicer_Occupation" caption="Occupation" rowHeight="234950"/>
  <slicer name="Region 1" xr10:uid="{1B9F878E-B6C0-4897-B29C-2404B12862BB}" cache="Slicer_Region" caption="Region" rowHeight="234950"/>
  <slicer name="Education 1" xr10:uid="{01BA22A0-8721-4E1A-9359-3B84D2F66381}" cache="Slicer_Education" caption="Edu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3387FB-E6DF-40B4-82B4-D1AE8DC01A79}" name="Table1" displayName="Table1" ref="A1:N1001" totalsRowShown="0">
  <autoFilter ref="A1:N1001" xr:uid="{6F3387FB-E6DF-40B4-82B4-D1AE8DC01A79}"/>
  <tableColumns count="14">
    <tableColumn id="1" xr3:uid="{272BBEF5-64ED-4792-A840-D77C5D24DE65}" name="ID"/>
    <tableColumn id="2" xr3:uid="{2159960A-8285-4E4C-8D5C-16A3D3FD07C0}" name="Marital Status"/>
    <tableColumn id="3" xr3:uid="{7101EFF4-B5ED-4B01-9EEE-C806E9F77A71}" name="Gender"/>
    <tableColumn id="4" xr3:uid="{F6029288-2F13-4700-9640-BFFD3339490D}" name="Income" dataDxfId="0"/>
    <tableColumn id="5" xr3:uid="{8C8E3CA3-C3F4-4901-BD7E-13B5240F5152}" name="Children"/>
    <tableColumn id="6" xr3:uid="{7B1AD0E5-21DC-426D-A79A-62D469BB8FE5}" name="Education"/>
    <tableColumn id="7" xr3:uid="{5C3D7BAD-3071-4A73-A41C-67F385A27917}" name="Occupation"/>
    <tableColumn id="8" xr3:uid="{C927002B-B0EA-41A7-9517-D0F15E59798F}" name="Home Owner"/>
    <tableColumn id="9" xr3:uid="{0403C911-3A7C-466C-9637-4A427DDC279D}" name="Cars"/>
    <tableColumn id="10" xr3:uid="{ADE0053C-C702-4FEF-97A9-1CD806BD645E}" name="Commute Distance"/>
    <tableColumn id="11" xr3:uid="{9BD2CFDB-5589-491B-8FBA-EBC1061E52BB}" name="Region"/>
    <tableColumn id="12" xr3:uid="{22A2F628-0E3F-49E4-AB0A-BE7225BAEB95}" name="Age"/>
    <tableColumn id="15" xr3:uid="{DBA21D64-04BE-4A15-8B3B-E788756BDDEF}" name="Age Brackets">
      <calculatedColumnFormula>IF(Table1[[#This Row],[Age]]&lt;35,"Young People 0-35",IF(Table1[[#This Row],[Age]]&gt;54,"Senior Above 54","Middle Age 35-55"))</calculatedColumnFormula>
    </tableColumn>
    <tableColumn id="13" xr3:uid="{62B57688-674B-4547-BD3B-41A921AB6D54}" name="Purchased Bik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3"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9D16-9A2F-4C66-BEE9-4DA95ACF8C44}">
  <dimension ref="A1:N1001"/>
  <sheetViews>
    <sheetView workbookViewId="0">
      <selection activeCell="J18" sqref="J18"/>
    </sheetView>
  </sheetViews>
  <sheetFormatPr defaultRowHeight="14.4" x14ac:dyDescent="0.3"/>
  <cols>
    <col min="1" max="1" width="13.88671875" customWidth="1"/>
    <col min="2" max="2" width="14.5546875" customWidth="1"/>
    <col min="3" max="9" width="13.88671875" customWidth="1"/>
    <col min="10" max="10" width="18.77734375" customWidth="1"/>
    <col min="11" max="12" width="13.88671875" customWidth="1"/>
    <col min="13" max="13" width="15.21875" bestFit="1" customWidth="1"/>
    <col min="14" max="14" width="15.66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IF(Table1[[#This Row],[Age]]&lt;35,"Young People 0-35",IF(Table1[[#This Row],[Age]]&gt;54,"Senior Above 54","Middle Age 35-55"))</f>
        <v>Middle Age 35-55</v>
      </c>
      <c r="N2" t="s">
        <v>18</v>
      </c>
    </row>
    <row r="3" spans="1:14" x14ac:dyDescent="0.3">
      <c r="A3">
        <v>24107</v>
      </c>
      <c r="B3" t="s">
        <v>36</v>
      </c>
      <c r="C3" t="s">
        <v>39</v>
      </c>
      <c r="D3" s="3">
        <v>30000</v>
      </c>
      <c r="E3">
        <v>3</v>
      </c>
      <c r="F3" t="s">
        <v>19</v>
      </c>
      <c r="G3" t="s">
        <v>20</v>
      </c>
      <c r="H3" t="s">
        <v>15</v>
      </c>
      <c r="I3">
        <v>1</v>
      </c>
      <c r="J3" t="s">
        <v>16</v>
      </c>
      <c r="K3" t="s">
        <v>17</v>
      </c>
      <c r="L3">
        <v>43</v>
      </c>
      <c r="M3" t="str">
        <f>IF(Table1[[#This Row],[Age]]&lt;35,"Young People 0-35",IF(Table1[[#This Row],[Age]]&gt;54,"Senior Above 54","Middle Age 35-55"))</f>
        <v>Middle Age 35-55</v>
      </c>
      <c r="N3" t="s">
        <v>18</v>
      </c>
    </row>
    <row r="4" spans="1:14" x14ac:dyDescent="0.3">
      <c r="A4">
        <v>14177</v>
      </c>
      <c r="B4" t="s">
        <v>36</v>
      </c>
      <c r="C4" t="s">
        <v>39</v>
      </c>
      <c r="D4" s="3">
        <v>80000</v>
      </c>
      <c r="E4">
        <v>5</v>
      </c>
      <c r="F4" t="s">
        <v>19</v>
      </c>
      <c r="G4" t="s">
        <v>21</v>
      </c>
      <c r="H4" t="s">
        <v>18</v>
      </c>
      <c r="I4">
        <v>2</v>
      </c>
      <c r="J4" t="s">
        <v>22</v>
      </c>
      <c r="K4" t="s">
        <v>17</v>
      </c>
      <c r="L4">
        <v>60</v>
      </c>
      <c r="M4" t="str">
        <f>IF(Table1[[#This Row],[Age]]&lt;35,"Young People 0-35",IF(Table1[[#This Row],[Age]]&gt;54,"Senior Above 54","Middle Age 35-55"))</f>
        <v>Senior Above 54</v>
      </c>
      <c r="N4" t="s">
        <v>18</v>
      </c>
    </row>
    <row r="5" spans="1:14" x14ac:dyDescent="0.3">
      <c r="A5">
        <v>24381</v>
      </c>
      <c r="B5" t="s">
        <v>37</v>
      </c>
      <c r="C5" t="s">
        <v>39</v>
      </c>
      <c r="D5" s="3">
        <v>70000</v>
      </c>
      <c r="E5">
        <v>0</v>
      </c>
      <c r="F5" t="s">
        <v>13</v>
      </c>
      <c r="G5" t="s">
        <v>21</v>
      </c>
      <c r="H5" t="s">
        <v>15</v>
      </c>
      <c r="I5">
        <v>1</v>
      </c>
      <c r="J5" t="s">
        <v>23</v>
      </c>
      <c r="K5" t="s">
        <v>24</v>
      </c>
      <c r="L5">
        <v>41</v>
      </c>
      <c r="M5" t="str">
        <f>IF(Table1[[#This Row],[Age]]&lt;35,"Young People 0-35",IF(Table1[[#This Row],[Age]]&gt;54,"Senior Above 54","Middle Age 35-55"))</f>
        <v>Middle Age 35-55</v>
      </c>
      <c r="N5" t="s">
        <v>15</v>
      </c>
    </row>
    <row r="6" spans="1:14" x14ac:dyDescent="0.3">
      <c r="A6">
        <v>25597</v>
      </c>
      <c r="B6" t="s">
        <v>37</v>
      </c>
      <c r="C6" t="s">
        <v>39</v>
      </c>
      <c r="D6" s="3">
        <v>30000</v>
      </c>
      <c r="E6">
        <v>0</v>
      </c>
      <c r="F6" t="s">
        <v>13</v>
      </c>
      <c r="G6" t="s">
        <v>20</v>
      </c>
      <c r="H6" t="s">
        <v>18</v>
      </c>
      <c r="I6">
        <v>0</v>
      </c>
      <c r="J6" t="s">
        <v>16</v>
      </c>
      <c r="K6" t="s">
        <v>17</v>
      </c>
      <c r="L6">
        <v>36</v>
      </c>
      <c r="M6" t="str">
        <f>IF(Table1[[#This Row],[Age]]&lt;35,"Young People 0-35",IF(Table1[[#This Row],[Age]]&gt;54,"Senior Above 54","Middle Age 35-55"))</f>
        <v>Middle Age 35-55</v>
      </c>
      <c r="N6" t="s">
        <v>15</v>
      </c>
    </row>
    <row r="7" spans="1:14" x14ac:dyDescent="0.3">
      <c r="A7">
        <v>13507</v>
      </c>
      <c r="B7" t="s">
        <v>36</v>
      </c>
      <c r="C7" t="s">
        <v>38</v>
      </c>
      <c r="D7" s="3">
        <v>10000</v>
      </c>
      <c r="E7">
        <v>2</v>
      </c>
      <c r="F7" t="s">
        <v>19</v>
      </c>
      <c r="G7" t="s">
        <v>25</v>
      </c>
      <c r="H7" t="s">
        <v>15</v>
      </c>
      <c r="I7">
        <v>0</v>
      </c>
      <c r="J7" t="s">
        <v>26</v>
      </c>
      <c r="K7" t="s">
        <v>17</v>
      </c>
      <c r="L7">
        <v>50</v>
      </c>
      <c r="M7" t="str">
        <f>IF(Table1[[#This Row],[Age]]&lt;35,"Young People 0-35",IF(Table1[[#This Row],[Age]]&gt;54,"Senior Above 54","Middle Age 35-55"))</f>
        <v>Middle Age 35-55</v>
      </c>
      <c r="N7" t="s">
        <v>18</v>
      </c>
    </row>
    <row r="8" spans="1:14" x14ac:dyDescent="0.3">
      <c r="A8">
        <v>27974</v>
      </c>
      <c r="B8" t="s">
        <v>37</v>
      </c>
      <c r="C8" t="s">
        <v>39</v>
      </c>
      <c r="D8" s="3">
        <v>160000</v>
      </c>
      <c r="E8">
        <v>2</v>
      </c>
      <c r="F8" t="s">
        <v>27</v>
      </c>
      <c r="G8" t="s">
        <v>28</v>
      </c>
      <c r="H8" t="s">
        <v>15</v>
      </c>
      <c r="I8">
        <v>4</v>
      </c>
      <c r="J8" t="s">
        <v>16</v>
      </c>
      <c r="K8" t="s">
        <v>24</v>
      </c>
      <c r="L8">
        <v>33</v>
      </c>
      <c r="M8" t="str">
        <f>IF(Table1[[#This Row],[Age]]&lt;35,"Young People 0-35",IF(Table1[[#This Row],[Age]]&gt;54,"Senior Above 54","Middle Age 35-55"))</f>
        <v>Young People 0-35</v>
      </c>
      <c r="N8" t="s">
        <v>15</v>
      </c>
    </row>
    <row r="9" spans="1:14" x14ac:dyDescent="0.3">
      <c r="A9">
        <v>19364</v>
      </c>
      <c r="B9" t="s">
        <v>36</v>
      </c>
      <c r="C9" t="s">
        <v>39</v>
      </c>
      <c r="D9" s="3">
        <v>40000</v>
      </c>
      <c r="E9">
        <v>1</v>
      </c>
      <c r="F9" t="s">
        <v>13</v>
      </c>
      <c r="G9" t="s">
        <v>14</v>
      </c>
      <c r="H9" t="s">
        <v>15</v>
      </c>
      <c r="I9">
        <v>0</v>
      </c>
      <c r="J9" t="s">
        <v>16</v>
      </c>
      <c r="K9" t="s">
        <v>17</v>
      </c>
      <c r="L9">
        <v>43</v>
      </c>
      <c r="M9" t="str">
        <f>IF(Table1[[#This Row],[Age]]&lt;35,"Young People 0-35",IF(Table1[[#This Row],[Age]]&gt;54,"Senior Above 54","Middle Age 35-55"))</f>
        <v>Middle Age 35-55</v>
      </c>
      <c r="N9" t="s">
        <v>15</v>
      </c>
    </row>
    <row r="10" spans="1:14" x14ac:dyDescent="0.3">
      <c r="A10">
        <v>22155</v>
      </c>
      <c r="B10" t="s">
        <v>36</v>
      </c>
      <c r="C10" t="s">
        <v>39</v>
      </c>
      <c r="D10" s="3">
        <v>20000</v>
      </c>
      <c r="E10">
        <v>2</v>
      </c>
      <c r="F10" t="s">
        <v>29</v>
      </c>
      <c r="G10" t="s">
        <v>20</v>
      </c>
      <c r="H10" t="s">
        <v>15</v>
      </c>
      <c r="I10">
        <v>2</v>
      </c>
      <c r="J10" t="s">
        <v>23</v>
      </c>
      <c r="K10" t="s">
        <v>24</v>
      </c>
      <c r="L10">
        <v>58</v>
      </c>
      <c r="M10" t="str">
        <f>IF(Table1[[#This Row],[Age]]&lt;35,"Young People 0-35",IF(Table1[[#This Row],[Age]]&gt;54,"Senior Above 54","Middle Age 35-55"))</f>
        <v>Senior Above 54</v>
      </c>
      <c r="N10" t="s">
        <v>18</v>
      </c>
    </row>
    <row r="11" spans="1:14" x14ac:dyDescent="0.3">
      <c r="A11">
        <v>19280</v>
      </c>
      <c r="B11" t="s">
        <v>36</v>
      </c>
      <c r="C11" t="s">
        <v>39</v>
      </c>
      <c r="D11" s="3">
        <v>120000</v>
      </c>
      <c r="E11">
        <v>2</v>
      </c>
      <c r="F11" t="s">
        <v>19</v>
      </c>
      <c r="G11" t="s">
        <v>25</v>
      </c>
      <c r="H11" t="s">
        <v>15</v>
      </c>
      <c r="I11">
        <v>1</v>
      </c>
      <c r="J11" t="s">
        <v>16</v>
      </c>
      <c r="K11" t="s">
        <v>17</v>
      </c>
      <c r="L11">
        <v>40</v>
      </c>
      <c r="M11" t="str">
        <f>IF(Table1[[#This Row],[Age]]&lt;35,"Young People 0-35",IF(Table1[[#This Row],[Age]]&gt;54,"Senior Above 54","Middle Age 35-55"))</f>
        <v>Middle Age 35-55</v>
      </c>
      <c r="N11" t="s">
        <v>15</v>
      </c>
    </row>
    <row r="12" spans="1:14" x14ac:dyDescent="0.3">
      <c r="A12">
        <v>22173</v>
      </c>
      <c r="B12" t="s">
        <v>36</v>
      </c>
      <c r="C12" t="s">
        <v>38</v>
      </c>
      <c r="D12" s="3">
        <v>30000</v>
      </c>
      <c r="E12">
        <v>3</v>
      </c>
      <c r="F12" t="s">
        <v>27</v>
      </c>
      <c r="G12" t="s">
        <v>14</v>
      </c>
      <c r="H12" t="s">
        <v>18</v>
      </c>
      <c r="I12">
        <v>2</v>
      </c>
      <c r="J12" t="s">
        <v>26</v>
      </c>
      <c r="K12" t="s">
        <v>24</v>
      </c>
      <c r="L12">
        <v>54</v>
      </c>
      <c r="M12" t="str">
        <f>IF(Table1[[#This Row],[Age]]&lt;35,"Young People 0-35",IF(Table1[[#This Row],[Age]]&gt;54,"Senior Above 54","Middle Age 35-55"))</f>
        <v>Middle Age 35-55</v>
      </c>
      <c r="N12" t="s">
        <v>15</v>
      </c>
    </row>
    <row r="13" spans="1:14" x14ac:dyDescent="0.3">
      <c r="A13">
        <v>12697</v>
      </c>
      <c r="B13" t="s">
        <v>37</v>
      </c>
      <c r="C13" t="s">
        <v>38</v>
      </c>
      <c r="D13" s="3">
        <v>90000</v>
      </c>
      <c r="E13">
        <v>0</v>
      </c>
      <c r="F13" t="s">
        <v>13</v>
      </c>
      <c r="G13" t="s">
        <v>21</v>
      </c>
      <c r="H13" t="s">
        <v>18</v>
      </c>
      <c r="I13">
        <v>4</v>
      </c>
      <c r="J13" t="s">
        <v>46</v>
      </c>
      <c r="K13" t="s">
        <v>24</v>
      </c>
      <c r="L13">
        <v>36</v>
      </c>
      <c r="M13" t="str">
        <f>IF(Table1[[#This Row],[Age]]&lt;35,"Young People 0-35",IF(Table1[[#This Row],[Age]]&gt;54,"Senior Above 54","Middle Age 35-55"))</f>
        <v>Middle Age 35-55</v>
      </c>
      <c r="N13" t="s">
        <v>18</v>
      </c>
    </row>
    <row r="14" spans="1:14" x14ac:dyDescent="0.3">
      <c r="A14">
        <v>11434</v>
      </c>
      <c r="B14" t="s">
        <v>36</v>
      </c>
      <c r="C14" t="s">
        <v>39</v>
      </c>
      <c r="D14" s="3">
        <v>170000</v>
      </c>
      <c r="E14">
        <v>5</v>
      </c>
      <c r="F14" t="s">
        <v>19</v>
      </c>
      <c r="G14" t="s">
        <v>21</v>
      </c>
      <c r="H14" t="s">
        <v>15</v>
      </c>
      <c r="I14">
        <v>0</v>
      </c>
      <c r="J14" t="s">
        <v>16</v>
      </c>
      <c r="K14" t="s">
        <v>17</v>
      </c>
      <c r="L14">
        <v>55</v>
      </c>
      <c r="M14" t="str">
        <f>IF(Table1[[#This Row],[Age]]&lt;35,"Young People 0-35",IF(Table1[[#This Row],[Age]]&gt;54,"Senior Above 54","Middle Age 35-55"))</f>
        <v>Senior Above 54</v>
      </c>
      <c r="N14" t="s">
        <v>18</v>
      </c>
    </row>
    <row r="15" spans="1:14" x14ac:dyDescent="0.3">
      <c r="A15">
        <v>25323</v>
      </c>
      <c r="B15" t="s">
        <v>36</v>
      </c>
      <c r="C15" t="s">
        <v>39</v>
      </c>
      <c r="D15" s="3">
        <v>40000</v>
      </c>
      <c r="E15">
        <v>2</v>
      </c>
      <c r="F15" t="s">
        <v>19</v>
      </c>
      <c r="G15" t="s">
        <v>20</v>
      </c>
      <c r="H15" t="s">
        <v>15</v>
      </c>
      <c r="I15">
        <v>1</v>
      </c>
      <c r="J15" t="s">
        <v>26</v>
      </c>
      <c r="K15" t="s">
        <v>17</v>
      </c>
      <c r="L15">
        <v>35</v>
      </c>
      <c r="M15" t="str">
        <f>IF(Table1[[#This Row],[Age]]&lt;35,"Young People 0-35",IF(Table1[[#This Row],[Age]]&gt;54,"Senior Above 54","Middle Age 35-55"))</f>
        <v>Middle Age 35-55</v>
      </c>
      <c r="N15" t="s">
        <v>15</v>
      </c>
    </row>
    <row r="16" spans="1:14" x14ac:dyDescent="0.3">
      <c r="A16">
        <v>23542</v>
      </c>
      <c r="B16" t="s">
        <v>37</v>
      </c>
      <c r="C16" t="s">
        <v>39</v>
      </c>
      <c r="D16" s="3">
        <v>60000</v>
      </c>
      <c r="E16">
        <v>1</v>
      </c>
      <c r="F16" t="s">
        <v>19</v>
      </c>
      <c r="G16" t="s">
        <v>14</v>
      </c>
      <c r="H16" t="s">
        <v>18</v>
      </c>
      <c r="I16">
        <v>1</v>
      </c>
      <c r="J16" t="s">
        <v>16</v>
      </c>
      <c r="K16" t="s">
        <v>24</v>
      </c>
      <c r="L16">
        <v>45</v>
      </c>
      <c r="M16" t="str">
        <f>IF(Table1[[#This Row],[Age]]&lt;35,"Young People 0-35",IF(Table1[[#This Row],[Age]]&gt;54,"Senior Above 54","Middle Age 35-55"))</f>
        <v>Middle Age 35-55</v>
      </c>
      <c r="N16" t="s">
        <v>15</v>
      </c>
    </row>
    <row r="17" spans="1:14" x14ac:dyDescent="0.3">
      <c r="A17">
        <v>20870</v>
      </c>
      <c r="B17" t="s">
        <v>37</v>
      </c>
      <c r="C17" t="s">
        <v>38</v>
      </c>
      <c r="D17" s="3">
        <v>10000</v>
      </c>
      <c r="E17">
        <v>2</v>
      </c>
      <c r="F17" t="s">
        <v>27</v>
      </c>
      <c r="G17" t="s">
        <v>25</v>
      </c>
      <c r="H17" t="s">
        <v>15</v>
      </c>
      <c r="I17">
        <v>1</v>
      </c>
      <c r="J17" t="s">
        <v>16</v>
      </c>
      <c r="K17" t="s">
        <v>17</v>
      </c>
      <c r="L17">
        <v>38</v>
      </c>
      <c r="M17" t="str">
        <f>IF(Table1[[#This Row],[Age]]&lt;35,"Young People 0-35",IF(Table1[[#This Row],[Age]]&gt;54,"Senior Above 54","Middle Age 35-55"))</f>
        <v>Middle Age 35-55</v>
      </c>
      <c r="N17" t="s">
        <v>15</v>
      </c>
    </row>
    <row r="18" spans="1:14" x14ac:dyDescent="0.3">
      <c r="A18">
        <v>23316</v>
      </c>
      <c r="B18" t="s">
        <v>37</v>
      </c>
      <c r="C18" t="s">
        <v>39</v>
      </c>
      <c r="D18" s="3">
        <v>30000</v>
      </c>
      <c r="E18">
        <v>3</v>
      </c>
      <c r="F18" t="s">
        <v>19</v>
      </c>
      <c r="G18" t="s">
        <v>20</v>
      </c>
      <c r="H18" t="s">
        <v>18</v>
      </c>
      <c r="I18">
        <v>2</v>
      </c>
      <c r="J18" t="s">
        <v>26</v>
      </c>
      <c r="K18" t="s">
        <v>24</v>
      </c>
      <c r="L18">
        <v>59</v>
      </c>
      <c r="M18" t="str">
        <f>IF(Table1[[#This Row],[Age]]&lt;35,"Young People 0-35",IF(Table1[[#This Row],[Age]]&gt;54,"Senior Above 54","Middle Age 35-55"))</f>
        <v>Senior Above 54</v>
      </c>
      <c r="N18" t="s">
        <v>15</v>
      </c>
    </row>
    <row r="19" spans="1:14" x14ac:dyDescent="0.3">
      <c r="A19">
        <v>12610</v>
      </c>
      <c r="B19" t="s">
        <v>36</v>
      </c>
      <c r="C19" t="s">
        <v>38</v>
      </c>
      <c r="D19" s="3">
        <v>30000</v>
      </c>
      <c r="E19">
        <v>1</v>
      </c>
      <c r="F19" t="s">
        <v>13</v>
      </c>
      <c r="G19" t="s">
        <v>20</v>
      </c>
      <c r="H19" t="s">
        <v>15</v>
      </c>
      <c r="I19">
        <v>0</v>
      </c>
      <c r="J19" t="s">
        <v>16</v>
      </c>
      <c r="K19" t="s">
        <v>17</v>
      </c>
      <c r="L19">
        <v>47</v>
      </c>
      <c r="M19" t="str">
        <f>IF(Table1[[#This Row],[Age]]&lt;35,"Young People 0-35",IF(Table1[[#This Row],[Age]]&gt;54,"Senior Above 54","Middle Age 35-55"))</f>
        <v>Middle Age 35-55</v>
      </c>
      <c r="N19" t="s">
        <v>18</v>
      </c>
    </row>
    <row r="20" spans="1:14" x14ac:dyDescent="0.3">
      <c r="A20">
        <v>27183</v>
      </c>
      <c r="B20" t="s">
        <v>37</v>
      </c>
      <c r="C20" t="s">
        <v>39</v>
      </c>
      <c r="D20" s="3">
        <v>40000</v>
      </c>
      <c r="E20">
        <v>2</v>
      </c>
      <c r="F20" t="s">
        <v>19</v>
      </c>
      <c r="G20" t="s">
        <v>20</v>
      </c>
      <c r="H20" t="s">
        <v>15</v>
      </c>
      <c r="I20">
        <v>1</v>
      </c>
      <c r="J20" t="s">
        <v>26</v>
      </c>
      <c r="K20" t="s">
        <v>17</v>
      </c>
      <c r="L20">
        <v>35</v>
      </c>
      <c r="M20" t="str">
        <f>IF(Table1[[#This Row],[Age]]&lt;35,"Young People 0-35",IF(Table1[[#This Row],[Age]]&gt;54,"Senior Above 54","Middle Age 35-55"))</f>
        <v>Middle Age 35-55</v>
      </c>
      <c r="N20" t="s">
        <v>15</v>
      </c>
    </row>
    <row r="21" spans="1:14" x14ac:dyDescent="0.3">
      <c r="A21">
        <v>25940</v>
      </c>
      <c r="B21" t="s">
        <v>37</v>
      </c>
      <c r="C21" t="s">
        <v>39</v>
      </c>
      <c r="D21" s="3">
        <v>20000</v>
      </c>
      <c r="E21">
        <v>2</v>
      </c>
      <c r="F21" t="s">
        <v>29</v>
      </c>
      <c r="G21" t="s">
        <v>20</v>
      </c>
      <c r="H21" t="s">
        <v>15</v>
      </c>
      <c r="I21">
        <v>2</v>
      </c>
      <c r="J21" t="s">
        <v>23</v>
      </c>
      <c r="K21" t="s">
        <v>24</v>
      </c>
      <c r="L21">
        <v>55</v>
      </c>
      <c r="M21" t="str">
        <f>IF(Table1[[#This Row],[Age]]&lt;35,"Young People 0-35",IF(Table1[[#This Row],[Age]]&gt;54,"Senior Above 54","Middle Age 35-55"))</f>
        <v>Senior Above 54</v>
      </c>
      <c r="N21" t="s">
        <v>15</v>
      </c>
    </row>
    <row r="22" spans="1:14" x14ac:dyDescent="0.3">
      <c r="A22">
        <v>25598</v>
      </c>
      <c r="B22" t="s">
        <v>36</v>
      </c>
      <c r="C22" t="s">
        <v>38</v>
      </c>
      <c r="D22" s="3">
        <v>40000</v>
      </c>
      <c r="E22">
        <v>0</v>
      </c>
      <c r="F22" t="s">
        <v>31</v>
      </c>
      <c r="G22" t="s">
        <v>20</v>
      </c>
      <c r="H22" t="s">
        <v>15</v>
      </c>
      <c r="I22">
        <v>0</v>
      </c>
      <c r="J22" t="s">
        <v>16</v>
      </c>
      <c r="K22" t="s">
        <v>17</v>
      </c>
      <c r="L22">
        <v>36</v>
      </c>
      <c r="M22" t="str">
        <f>IF(Table1[[#This Row],[Age]]&lt;35,"Young People 0-35",IF(Table1[[#This Row],[Age]]&gt;54,"Senior Above 54","Middle Age 35-55"))</f>
        <v>Middle Age 35-55</v>
      </c>
      <c r="N22" t="s">
        <v>15</v>
      </c>
    </row>
    <row r="23" spans="1:14" x14ac:dyDescent="0.3">
      <c r="A23">
        <v>21564</v>
      </c>
      <c r="B23" t="s">
        <v>37</v>
      </c>
      <c r="C23" t="s">
        <v>38</v>
      </c>
      <c r="D23" s="3">
        <v>80000</v>
      </c>
      <c r="E23">
        <v>0</v>
      </c>
      <c r="F23" t="s">
        <v>13</v>
      </c>
      <c r="G23" t="s">
        <v>21</v>
      </c>
      <c r="H23" t="s">
        <v>15</v>
      </c>
      <c r="I23">
        <v>4</v>
      </c>
      <c r="J23" t="s">
        <v>46</v>
      </c>
      <c r="K23" t="s">
        <v>24</v>
      </c>
      <c r="L23">
        <v>35</v>
      </c>
      <c r="M23" t="str">
        <f>IF(Table1[[#This Row],[Age]]&lt;35,"Young People 0-35",IF(Table1[[#This Row],[Age]]&gt;54,"Senior Above 54","Middle Age 35-55"))</f>
        <v>Middle Age 35-55</v>
      </c>
      <c r="N23" t="s">
        <v>18</v>
      </c>
    </row>
    <row r="24" spans="1:14" x14ac:dyDescent="0.3">
      <c r="A24">
        <v>19193</v>
      </c>
      <c r="B24" t="s">
        <v>37</v>
      </c>
      <c r="C24" t="s">
        <v>39</v>
      </c>
      <c r="D24" s="3">
        <v>40000</v>
      </c>
      <c r="E24">
        <v>2</v>
      </c>
      <c r="F24" t="s">
        <v>19</v>
      </c>
      <c r="G24" t="s">
        <v>20</v>
      </c>
      <c r="H24" t="s">
        <v>15</v>
      </c>
      <c r="I24">
        <v>0</v>
      </c>
      <c r="J24" t="s">
        <v>26</v>
      </c>
      <c r="K24" t="s">
        <v>17</v>
      </c>
      <c r="L24">
        <v>35</v>
      </c>
      <c r="M24" t="str">
        <f>IF(Table1[[#This Row],[Age]]&lt;35,"Young People 0-35",IF(Table1[[#This Row],[Age]]&gt;54,"Senior Above 54","Middle Age 35-55"))</f>
        <v>Middle Age 35-55</v>
      </c>
      <c r="N24" t="s">
        <v>15</v>
      </c>
    </row>
    <row r="25" spans="1:14" x14ac:dyDescent="0.3">
      <c r="A25">
        <v>26412</v>
      </c>
      <c r="B25" t="s">
        <v>36</v>
      </c>
      <c r="C25" t="s">
        <v>38</v>
      </c>
      <c r="D25" s="3">
        <v>80000</v>
      </c>
      <c r="E25">
        <v>5</v>
      </c>
      <c r="F25" t="s">
        <v>27</v>
      </c>
      <c r="G25" t="s">
        <v>28</v>
      </c>
      <c r="H25" t="s">
        <v>18</v>
      </c>
      <c r="I25">
        <v>3</v>
      </c>
      <c r="J25" t="s">
        <v>23</v>
      </c>
      <c r="K25" t="s">
        <v>17</v>
      </c>
      <c r="L25">
        <v>56</v>
      </c>
      <c r="M25" t="str">
        <f>IF(Table1[[#This Row],[Age]]&lt;35,"Young People 0-35",IF(Table1[[#This Row],[Age]]&gt;54,"Senior Above 54","Middle Age 35-55"))</f>
        <v>Senior Above 54</v>
      </c>
      <c r="N25" t="s">
        <v>18</v>
      </c>
    </row>
    <row r="26" spans="1:14" x14ac:dyDescent="0.3">
      <c r="A26">
        <v>27184</v>
      </c>
      <c r="B26" t="s">
        <v>37</v>
      </c>
      <c r="C26" t="s">
        <v>39</v>
      </c>
      <c r="D26" s="3">
        <v>40000</v>
      </c>
      <c r="E26">
        <v>2</v>
      </c>
      <c r="F26" t="s">
        <v>19</v>
      </c>
      <c r="G26" t="s">
        <v>20</v>
      </c>
      <c r="H26" t="s">
        <v>18</v>
      </c>
      <c r="I26">
        <v>1</v>
      </c>
      <c r="J26" t="s">
        <v>16</v>
      </c>
      <c r="K26" t="s">
        <v>17</v>
      </c>
      <c r="L26">
        <v>34</v>
      </c>
      <c r="M26" t="str">
        <f>IF(Table1[[#This Row],[Age]]&lt;35,"Young People 0-35",IF(Table1[[#This Row],[Age]]&gt;54,"Senior Above 54","Middle Age 35-55"))</f>
        <v>Young People 0-35</v>
      </c>
      <c r="N26" t="s">
        <v>18</v>
      </c>
    </row>
    <row r="27" spans="1:14" x14ac:dyDescent="0.3">
      <c r="A27">
        <v>12590</v>
      </c>
      <c r="B27" t="s">
        <v>37</v>
      </c>
      <c r="C27" t="s">
        <v>39</v>
      </c>
      <c r="D27" s="3">
        <v>30000</v>
      </c>
      <c r="E27">
        <v>1</v>
      </c>
      <c r="F27" t="s">
        <v>13</v>
      </c>
      <c r="G27" t="s">
        <v>20</v>
      </c>
      <c r="H27" t="s">
        <v>15</v>
      </c>
      <c r="I27">
        <v>0</v>
      </c>
      <c r="J27" t="s">
        <v>16</v>
      </c>
      <c r="K27" t="s">
        <v>17</v>
      </c>
      <c r="L27">
        <v>63</v>
      </c>
      <c r="M27" t="str">
        <f>IF(Table1[[#This Row],[Age]]&lt;35,"Young People 0-35",IF(Table1[[#This Row],[Age]]&gt;54,"Senior Above 54","Middle Age 35-55"))</f>
        <v>Senior Above 54</v>
      </c>
      <c r="N27" t="s">
        <v>18</v>
      </c>
    </row>
    <row r="28" spans="1:14" x14ac:dyDescent="0.3">
      <c r="A28">
        <v>17841</v>
      </c>
      <c r="B28" t="s">
        <v>37</v>
      </c>
      <c r="C28" t="s">
        <v>39</v>
      </c>
      <c r="D28" s="3">
        <v>30000</v>
      </c>
      <c r="E28">
        <v>0</v>
      </c>
      <c r="F28" t="s">
        <v>19</v>
      </c>
      <c r="G28" t="s">
        <v>20</v>
      </c>
      <c r="H28" t="s">
        <v>18</v>
      </c>
      <c r="I28">
        <v>1</v>
      </c>
      <c r="J28" t="s">
        <v>16</v>
      </c>
      <c r="K28" t="s">
        <v>17</v>
      </c>
      <c r="L28">
        <v>29</v>
      </c>
      <c r="M28" t="str">
        <f>IF(Table1[[#This Row],[Age]]&lt;35,"Young People 0-35",IF(Table1[[#This Row],[Age]]&gt;54,"Senior Above 54","Middle Age 35-55"))</f>
        <v>Young People 0-35</v>
      </c>
      <c r="N28" t="s">
        <v>15</v>
      </c>
    </row>
    <row r="29" spans="1:14" x14ac:dyDescent="0.3">
      <c r="A29">
        <v>18283</v>
      </c>
      <c r="B29" t="s">
        <v>37</v>
      </c>
      <c r="C29" t="s">
        <v>38</v>
      </c>
      <c r="D29" s="3">
        <v>100000</v>
      </c>
      <c r="E29">
        <v>0</v>
      </c>
      <c r="F29" t="s">
        <v>13</v>
      </c>
      <c r="G29" t="s">
        <v>21</v>
      </c>
      <c r="H29" t="s">
        <v>18</v>
      </c>
      <c r="I29">
        <v>1</v>
      </c>
      <c r="J29" t="s">
        <v>23</v>
      </c>
      <c r="K29" t="s">
        <v>24</v>
      </c>
      <c r="L29">
        <v>40</v>
      </c>
      <c r="M29" t="str">
        <f>IF(Table1[[#This Row],[Age]]&lt;35,"Young People 0-35",IF(Table1[[#This Row],[Age]]&gt;54,"Senior Above 54","Middle Age 35-55"))</f>
        <v>Middle Age 35-55</v>
      </c>
      <c r="N29" t="s">
        <v>18</v>
      </c>
    </row>
    <row r="30" spans="1:14" x14ac:dyDescent="0.3">
      <c r="A30">
        <v>18299</v>
      </c>
      <c r="B30" t="s">
        <v>36</v>
      </c>
      <c r="C30" t="s">
        <v>39</v>
      </c>
      <c r="D30" s="3">
        <v>70000</v>
      </c>
      <c r="E30">
        <v>5</v>
      </c>
      <c r="F30" t="s">
        <v>19</v>
      </c>
      <c r="G30" t="s">
        <v>14</v>
      </c>
      <c r="H30" t="s">
        <v>15</v>
      </c>
      <c r="I30">
        <v>2</v>
      </c>
      <c r="J30" t="s">
        <v>23</v>
      </c>
      <c r="K30" t="s">
        <v>24</v>
      </c>
      <c r="L30">
        <v>44</v>
      </c>
      <c r="M30" t="str">
        <f>IF(Table1[[#This Row],[Age]]&lt;35,"Young People 0-35",IF(Table1[[#This Row],[Age]]&gt;54,"Senior Above 54","Middle Age 35-55"))</f>
        <v>Middle Age 35-55</v>
      </c>
      <c r="N30" t="s">
        <v>18</v>
      </c>
    </row>
    <row r="31" spans="1:14" x14ac:dyDescent="0.3">
      <c r="A31">
        <v>16466</v>
      </c>
      <c r="B31" t="s">
        <v>37</v>
      </c>
      <c r="C31" t="s">
        <v>38</v>
      </c>
      <c r="D31" s="3">
        <v>20000</v>
      </c>
      <c r="E31">
        <v>0</v>
      </c>
      <c r="F31" t="s">
        <v>29</v>
      </c>
      <c r="G31" t="s">
        <v>25</v>
      </c>
      <c r="H31" t="s">
        <v>18</v>
      </c>
      <c r="I31">
        <v>2</v>
      </c>
      <c r="J31" t="s">
        <v>16</v>
      </c>
      <c r="K31" t="s">
        <v>17</v>
      </c>
      <c r="L31">
        <v>32</v>
      </c>
      <c r="M31" t="str">
        <f>IF(Table1[[#This Row],[Age]]&lt;35,"Young People 0-35",IF(Table1[[#This Row],[Age]]&gt;54,"Senior Above 54","Middle Age 35-55"))</f>
        <v>Young People 0-35</v>
      </c>
      <c r="N31" t="s">
        <v>15</v>
      </c>
    </row>
    <row r="32" spans="1:14" x14ac:dyDescent="0.3">
      <c r="A32">
        <v>19273</v>
      </c>
      <c r="B32" t="s">
        <v>36</v>
      </c>
      <c r="C32" t="s">
        <v>38</v>
      </c>
      <c r="D32" s="3">
        <v>20000</v>
      </c>
      <c r="E32">
        <v>2</v>
      </c>
      <c r="F32" t="s">
        <v>19</v>
      </c>
      <c r="G32" t="s">
        <v>25</v>
      </c>
      <c r="H32" t="s">
        <v>15</v>
      </c>
      <c r="I32">
        <v>0</v>
      </c>
      <c r="J32" t="s">
        <v>16</v>
      </c>
      <c r="K32" t="s">
        <v>17</v>
      </c>
      <c r="L32">
        <v>63</v>
      </c>
      <c r="M32" t="str">
        <f>IF(Table1[[#This Row],[Age]]&lt;35,"Young People 0-35",IF(Table1[[#This Row],[Age]]&gt;54,"Senior Above 54","Middle Age 35-55"))</f>
        <v>Senior Above 54</v>
      </c>
      <c r="N32" t="s">
        <v>18</v>
      </c>
    </row>
    <row r="33" spans="1:14" x14ac:dyDescent="0.3">
      <c r="A33">
        <v>22400</v>
      </c>
      <c r="B33" t="s">
        <v>36</v>
      </c>
      <c r="C33" t="s">
        <v>39</v>
      </c>
      <c r="D33" s="3">
        <v>10000</v>
      </c>
      <c r="E33">
        <v>0</v>
      </c>
      <c r="F33" t="s">
        <v>19</v>
      </c>
      <c r="G33" t="s">
        <v>25</v>
      </c>
      <c r="H33" t="s">
        <v>18</v>
      </c>
      <c r="I33">
        <v>1</v>
      </c>
      <c r="J33" t="s">
        <v>16</v>
      </c>
      <c r="K33" t="s">
        <v>24</v>
      </c>
      <c r="L33">
        <v>26</v>
      </c>
      <c r="M33" t="str">
        <f>IF(Table1[[#This Row],[Age]]&lt;35,"Young People 0-35",IF(Table1[[#This Row],[Age]]&gt;54,"Senior Above 54","Middle Age 35-55"))</f>
        <v>Young People 0-35</v>
      </c>
      <c r="N33" t="s">
        <v>15</v>
      </c>
    </row>
    <row r="34" spans="1:14" x14ac:dyDescent="0.3">
      <c r="A34">
        <v>20942</v>
      </c>
      <c r="B34" t="s">
        <v>37</v>
      </c>
      <c r="C34" t="s">
        <v>38</v>
      </c>
      <c r="D34" s="3">
        <v>20000</v>
      </c>
      <c r="E34">
        <v>0</v>
      </c>
      <c r="F34" t="s">
        <v>27</v>
      </c>
      <c r="G34" t="s">
        <v>25</v>
      </c>
      <c r="H34" t="s">
        <v>18</v>
      </c>
      <c r="I34">
        <v>1</v>
      </c>
      <c r="J34" t="s">
        <v>23</v>
      </c>
      <c r="K34" t="s">
        <v>17</v>
      </c>
      <c r="L34">
        <v>31</v>
      </c>
      <c r="M34" t="str">
        <f>IF(Table1[[#This Row],[Age]]&lt;35,"Young People 0-35",IF(Table1[[#This Row],[Age]]&gt;54,"Senior Above 54","Middle Age 35-55"))</f>
        <v>Young People 0-35</v>
      </c>
      <c r="N34" t="s">
        <v>18</v>
      </c>
    </row>
    <row r="35" spans="1:14" x14ac:dyDescent="0.3">
      <c r="A35">
        <v>18484</v>
      </c>
      <c r="B35" t="s">
        <v>37</v>
      </c>
      <c r="C35" t="s">
        <v>39</v>
      </c>
      <c r="D35" s="3">
        <v>80000</v>
      </c>
      <c r="E35">
        <v>2</v>
      </c>
      <c r="F35" t="s">
        <v>27</v>
      </c>
      <c r="G35" t="s">
        <v>14</v>
      </c>
      <c r="H35" t="s">
        <v>18</v>
      </c>
      <c r="I35">
        <v>2</v>
      </c>
      <c r="J35" t="s">
        <v>26</v>
      </c>
      <c r="K35" t="s">
        <v>24</v>
      </c>
      <c r="L35">
        <v>50</v>
      </c>
      <c r="M35" t="str">
        <f>IF(Table1[[#This Row],[Age]]&lt;35,"Young People 0-35",IF(Table1[[#This Row],[Age]]&gt;54,"Senior Above 54","Middle Age 35-55"))</f>
        <v>Middle Age 35-55</v>
      </c>
      <c r="N35" t="s">
        <v>15</v>
      </c>
    </row>
    <row r="36" spans="1:14" x14ac:dyDescent="0.3">
      <c r="A36">
        <v>12291</v>
      </c>
      <c r="B36" t="s">
        <v>37</v>
      </c>
      <c r="C36" t="s">
        <v>39</v>
      </c>
      <c r="D36" s="3">
        <v>90000</v>
      </c>
      <c r="E36">
        <v>5</v>
      </c>
      <c r="F36" t="s">
        <v>19</v>
      </c>
      <c r="G36" t="s">
        <v>21</v>
      </c>
      <c r="H36" t="s">
        <v>18</v>
      </c>
      <c r="I36">
        <v>2</v>
      </c>
      <c r="J36" t="s">
        <v>22</v>
      </c>
      <c r="K36" t="s">
        <v>17</v>
      </c>
      <c r="L36">
        <v>62</v>
      </c>
      <c r="M36" t="str">
        <f>IF(Table1[[#This Row],[Age]]&lt;35,"Young People 0-35",IF(Table1[[#This Row],[Age]]&gt;54,"Senior Above 54","Middle Age 35-55"))</f>
        <v>Senior Above 54</v>
      </c>
      <c r="N36" t="s">
        <v>15</v>
      </c>
    </row>
    <row r="37" spans="1:14" x14ac:dyDescent="0.3">
      <c r="A37">
        <v>28380</v>
      </c>
      <c r="B37" t="s">
        <v>37</v>
      </c>
      <c r="C37" t="s">
        <v>38</v>
      </c>
      <c r="D37" s="3">
        <v>10000</v>
      </c>
      <c r="E37">
        <v>5</v>
      </c>
      <c r="F37" t="s">
        <v>29</v>
      </c>
      <c r="G37" t="s">
        <v>25</v>
      </c>
      <c r="H37" t="s">
        <v>18</v>
      </c>
      <c r="I37">
        <v>2</v>
      </c>
      <c r="J37" t="s">
        <v>16</v>
      </c>
      <c r="K37" t="s">
        <v>17</v>
      </c>
      <c r="L37">
        <v>41</v>
      </c>
      <c r="M37" t="str">
        <f>IF(Table1[[#This Row],[Age]]&lt;35,"Young People 0-35",IF(Table1[[#This Row],[Age]]&gt;54,"Senior Above 54","Middle Age 35-55"))</f>
        <v>Middle Age 35-55</v>
      </c>
      <c r="N37" t="s">
        <v>18</v>
      </c>
    </row>
    <row r="38" spans="1:14" x14ac:dyDescent="0.3">
      <c r="A38">
        <v>17891</v>
      </c>
      <c r="B38" t="s">
        <v>36</v>
      </c>
      <c r="C38" t="s">
        <v>38</v>
      </c>
      <c r="D38" s="3">
        <v>10000</v>
      </c>
      <c r="E38">
        <v>2</v>
      </c>
      <c r="F38" t="s">
        <v>19</v>
      </c>
      <c r="G38" t="s">
        <v>25</v>
      </c>
      <c r="H38" t="s">
        <v>15</v>
      </c>
      <c r="I38">
        <v>1</v>
      </c>
      <c r="J38" t="s">
        <v>16</v>
      </c>
      <c r="K38" t="s">
        <v>17</v>
      </c>
      <c r="L38">
        <v>50</v>
      </c>
      <c r="M38" t="str">
        <f>IF(Table1[[#This Row],[Age]]&lt;35,"Young People 0-35",IF(Table1[[#This Row],[Age]]&gt;54,"Senior Above 54","Middle Age 35-55"))</f>
        <v>Middle Age 35-55</v>
      </c>
      <c r="N38" t="s">
        <v>15</v>
      </c>
    </row>
    <row r="39" spans="1:14" x14ac:dyDescent="0.3">
      <c r="A39">
        <v>27832</v>
      </c>
      <c r="B39" t="s">
        <v>37</v>
      </c>
      <c r="C39" t="s">
        <v>38</v>
      </c>
      <c r="D39" s="3">
        <v>30000</v>
      </c>
      <c r="E39">
        <v>0</v>
      </c>
      <c r="F39" t="s">
        <v>19</v>
      </c>
      <c r="G39" t="s">
        <v>20</v>
      </c>
      <c r="H39" t="s">
        <v>18</v>
      </c>
      <c r="I39">
        <v>1</v>
      </c>
      <c r="J39" t="s">
        <v>22</v>
      </c>
      <c r="K39" t="s">
        <v>17</v>
      </c>
      <c r="L39">
        <v>30</v>
      </c>
      <c r="M39" t="str">
        <f>IF(Table1[[#This Row],[Age]]&lt;35,"Young People 0-35",IF(Table1[[#This Row],[Age]]&gt;54,"Senior Above 54","Middle Age 35-55"))</f>
        <v>Young People 0-35</v>
      </c>
      <c r="N39" t="s">
        <v>18</v>
      </c>
    </row>
    <row r="40" spans="1:14" x14ac:dyDescent="0.3">
      <c r="A40">
        <v>26863</v>
      </c>
      <c r="B40" t="s">
        <v>37</v>
      </c>
      <c r="C40" t="s">
        <v>39</v>
      </c>
      <c r="D40" s="3">
        <v>20000</v>
      </c>
      <c r="E40">
        <v>0</v>
      </c>
      <c r="F40" t="s">
        <v>27</v>
      </c>
      <c r="G40" t="s">
        <v>25</v>
      </c>
      <c r="H40" t="s">
        <v>18</v>
      </c>
      <c r="I40">
        <v>1</v>
      </c>
      <c r="J40" t="s">
        <v>22</v>
      </c>
      <c r="K40" t="s">
        <v>17</v>
      </c>
      <c r="L40">
        <v>28</v>
      </c>
      <c r="M40" t="str">
        <f>IF(Table1[[#This Row],[Age]]&lt;35,"Young People 0-35",IF(Table1[[#This Row],[Age]]&gt;54,"Senior Above 54","Middle Age 35-55"))</f>
        <v>Young People 0-35</v>
      </c>
      <c r="N40" t="s">
        <v>18</v>
      </c>
    </row>
    <row r="41" spans="1:14" x14ac:dyDescent="0.3">
      <c r="A41">
        <v>16259</v>
      </c>
      <c r="B41" t="s">
        <v>37</v>
      </c>
      <c r="C41" t="s">
        <v>38</v>
      </c>
      <c r="D41" s="3">
        <v>10000</v>
      </c>
      <c r="E41">
        <v>4</v>
      </c>
      <c r="F41" t="s">
        <v>29</v>
      </c>
      <c r="G41" t="s">
        <v>25</v>
      </c>
      <c r="H41" t="s">
        <v>15</v>
      </c>
      <c r="I41">
        <v>2</v>
      </c>
      <c r="J41" t="s">
        <v>16</v>
      </c>
      <c r="K41" t="s">
        <v>17</v>
      </c>
      <c r="L41">
        <v>40</v>
      </c>
      <c r="M41" t="str">
        <f>IF(Table1[[#This Row],[Age]]&lt;35,"Young People 0-35",IF(Table1[[#This Row],[Age]]&gt;54,"Senior Above 54","Middle Age 35-55"))</f>
        <v>Middle Age 35-55</v>
      </c>
      <c r="N41" t="s">
        <v>15</v>
      </c>
    </row>
    <row r="42" spans="1:14" x14ac:dyDescent="0.3">
      <c r="A42">
        <v>27803</v>
      </c>
      <c r="B42" t="s">
        <v>37</v>
      </c>
      <c r="C42" t="s">
        <v>38</v>
      </c>
      <c r="D42" s="3">
        <v>30000</v>
      </c>
      <c r="E42">
        <v>2</v>
      </c>
      <c r="F42" t="s">
        <v>19</v>
      </c>
      <c r="G42" t="s">
        <v>20</v>
      </c>
      <c r="H42" t="s">
        <v>18</v>
      </c>
      <c r="I42">
        <v>0</v>
      </c>
      <c r="J42" t="s">
        <v>16</v>
      </c>
      <c r="K42" t="s">
        <v>17</v>
      </c>
      <c r="L42">
        <v>43</v>
      </c>
      <c r="M42" t="str">
        <f>IF(Table1[[#This Row],[Age]]&lt;35,"Young People 0-35",IF(Table1[[#This Row],[Age]]&gt;54,"Senior Above 54","Middle Age 35-55"))</f>
        <v>Middle Age 35-55</v>
      </c>
      <c r="N42" t="s">
        <v>18</v>
      </c>
    </row>
    <row r="43" spans="1:14" x14ac:dyDescent="0.3">
      <c r="A43">
        <v>14347</v>
      </c>
      <c r="B43" t="s">
        <v>37</v>
      </c>
      <c r="C43" t="s">
        <v>38</v>
      </c>
      <c r="D43" s="3">
        <v>40000</v>
      </c>
      <c r="E43">
        <v>2</v>
      </c>
      <c r="F43" t="s">
        <v>13</v>
      </c>
      <c r="G43" t="s">
        <v>28</v>
      </c>
      <c r="H43" t="s">
        <v>15</v>
      </c>
      <c r="I43">
        <v>2</v>
      </c>
      <c r="J43" t="s">
        <v>23</v>
      </c>
      <c r="K43" t="s">
        <v>24</v>
      </c>
      <c r="L43">
        <v>65</v>
      </c>
      <c r="M43" t="str">
        <f>IF(Table1[[#This Row],[Age]]&lt;35,"Young People 0-35",IF(Table1[[#This Row],[Age]]&gt;54,"Senior Above 54","Middle Age 35-55"))</f>
        <v>Senior Above 54</v>
      </c>
      <c r="N43" t="s">
        <v>15</v>
      </c>
    </row>
    <row r="44" spans="1:14" x14ac:dyDescent="0.3">
      <c r="A44">
        <v>17703</v>
      </c>
      <c r="B44" t="s">
        <v>36</v>
      </c>
      <c r="C44" t="s">
        <v>38</v>
      </c>
      <c r="D44" s="3">
        <v>10000</v>
      </c>
      <c r="E44">
        <v>1</v>
      </c>
      <c r="F44" t="s">
        <v>31</v>
      </c>
      <c r="G44" t="s">
        <v>25</v>
      </c>
      <c r="H44" t="s">
        <v>15</v>
      </c>
      <c r="I44">
        <v>0</v>
      </c>
      <c r="J44" t="s">
        <v>16</v>
      </c>
      <c r="K44" t="s">
        <v>17</v>
      </c>
      <c r="L44">
        <v>40</v>
      </c>
      <c r="M44" t="str">
        <f>IF(Table1[[#This Row],[Age]]&lt;35,"Young People 0-35",IF(Table1[[#This Row],[Age]]&gt;54,"Senior Above 54","Middle Age 35-55"))</f>
        <v>Middle Age 35-55</v>
      </c>
      <c r="N44" t="s">
        <v>18</v>
      </c>
    </row>
    <row r="45" spans="1:14" x14ac:dyDescent="0.3">
      <c r="A45">
        <v>17185</v>
      </c>
      <c r="B45" t="s">
        <v>36</v>
      </c>
      <c r="C45" t="s">
        <v>38</v>
      </c>
      <c r="D45" s="3">
        <v>170000</v>
      </c>
      <c r="E45">
        <v>4</v>
      </c>
      <c r="F45" t="s">
        <v>19</v>
      </c>
      <c r="G45" t="s">
        <v>21</v>
      </c>
      <c r="H45" t="s">
        <v>18</v>
      </c>
      <c r="I45">
        <v>3</v>
      </c>
      <c r="J45" t="s">
        <v>23</v>
      </c>
      <c r="K45" t="s">
        <v>17</v>
      </c>
      <c r="L45">
        <v>48</v>
      </c>
      <c r="M45" t="str">
        <f>IF(Table1[[#This Row],[Age]]&lt;35,"Young People 0-35",IF(Table1[[#This Row],[Age]]&gt;54,"Senior Above 54","Middle Age 35-55"))</f>
        <v>Middle Age 35-55</v>
      </c>
      <c r="N45" t="s">
        <v>15</v>
      </c>
    </row>
    <row r="46" spans="1:14" x14ac:dyDescent="0.3">
      <c r="A46">
        <v>29380</v>
      </c>
      <c r="B46" t="s">
        <v>36</v>
      </c>
      <c r="C46" t="s">
        <v>38</v>
      </c>
      <c r="D46" s="3">
        <v>20000</v>
      </c>
      <c r="E46">
        <v>3</v>
      </c>
      <c r="F46" t="s">
        <v>27</v>
      </c>
      <c r="G46" t="s">
        <v>25</v>
      </c>
      <c r="H46" t="s">
        <v>15</v>
      </c>
      <c r="I46">
        <v>0</v>
      </c>
      <c r="J46" t="s">
        <v>16</v>
      </c>
      <c r="K46" t="s">
        <v>17</v>
      </c>
      <c r="L46">
        <v>41</v>
      </c>
      <c r="M46" t="str">
        <f>IF(Table1[[#This Row],[Age]]&lt;35,"Young People 0-35",IF(Table1[[#This Row],[Age]]&gt;54,"Senior Above 54","Middle Age 35-55"))</f>
        <v>Middle Age 35-55</v>
      </c>
      <c r="N46" t="s">
        <v>15</v>
      </c>
    </row>
    <row r="47" spans="1:14" x14ac:dyDescent="0.3">
      <c r="A47">
        <v>23986</v>
      </c>
      <c r="B47" t="s">
        <v>36</v>
      </c>
      <c r="C47" t="s">
        <v>38</v>
      </c>
      <c r="D47" s="3">
        <v>20000</v>
      </c>
      <c r="E47">
        <v>1</v>
      </c>
      <c r="F47" t="s">
        <v>13</v>
      </c>
      <c r="G47" t="s">
        <v>20</v>
      </c>
      <c r="H47" t="s">
        <v>15</v>
      </c>
      <c r="I47">
        <v>0</v>
      </c>
      <c r="J47" t="s">
        <v>16</v>
      </c>
      <c r="K47" t="s">
        <v>17</v>
      </c>
      <c r="L47">
        <v>66</v>
      </c>
      <c r="M47" t="str">
        <f>IF(Table1[[#This Row],[Age]]&lt;35,"Young People 0-35",IF(Table1[[#This Row],[Age]]&gt;54,"Senior Above 54","Middle Age 35-55"))</f>
        <v>Senior Above 54</v>
      </c>
      <c r="N47" t="s">
        <v>15</v>
      </c>
    </row>
    <row r="48" spans="1:14" x14ac:dyDescent="0.3">
      <c r="A48">
        <v>24466</v>
      </c>
      <c r="B48" t="s">
        <v>36</v>
      </c>
      <c r="C48" t="s">
        <v>38</v>
      </c>
      <c r="D48" s="3">
        <v>60000</v>
      </c>
      <c r="E48">
        <v>1</v>
      </c>
      <c r="F48" t="s">
        <v>19</v>
      </c>
      <c r="G48" t="s">
        <v>14</v>
      </c>
      <c r="H48" t="s">
        <v>15</v>
      </c>
      <c r="I48">
        <v>1</v>
      </c>
      <c r="J48" t="s">
        <v>23</v>
      </c>
      <c r="K48" t="s">
        <v>24</v>
      </c>
      <c r="L48">
        <v>46</v>
      </c>
      <c r="M48" t="str">
        <f>IF(Table1[[#This Row],[Age]]&lt;35,"Young People 0-35",IF(Table1[[#This Row],[Age]]&gt;54,"Senior Above 54","Middle Age 35-55"))</f>
        <v>Middle Age 35-55</v>
      </c>
      <c r="N48" t="s">
        <v>15</v>
      </c>
    </row>
    <row r="49" spans="1:14" x14ac:dyDescent="0.3">
      <c r="A49">
        <v>29097</v>
      </c>
      <c r="B49" t="s">
        <v>37</v>
      </c>
      <c r="C49" t="s">
        <v>38</v>
      </c>
      <c r="D49" s="3">
        <v>40000</v>
      </c>
      <c r="E49">
        <v>2</v>
      </c>
      <c r="F49" t="s">
        <v>19</v>
      </c>
      <c r="G49" t="s">
        <v>14</v>
      </c>
      <c r="H49" t="s">
        <v>15</v>
      </c>
      <c r="I49">
        <v>2</v>
      </c>
      <c r="J49" t="s">
        <v>23</v>
      </c>
      <c r="K49" t="s">
        <v>24</v>
      </c>
      <c r="L49">
        <v>52</v>
      </c>
      <c r="M49" t="str">
        <f>IF(Table1[[#This Row],[Age]]&lt;35,"Young People 0-35",IF(Table1[[#This Row],[Age]]&gt;54,"Senior Above 54","Middle Age 35-55"))</f>
        <v>Middle Age 35-55</v>
      </c>
      <c r="N49" t="s">
        <v>15</v>
      </c>
    </row>
    <row r="50" spans="1:14" x14ac:dyDescent="0.3">
      <c r="A50">
        <v>19487</v>
      </c>
      <c r="B50" t="s">
        <v>36</v>
      </c>
      <c r="C50" t="s">
        <v>39</v>
      </c>
      <c r="D50" s="3">
        <v>30000</v>
      </c>
      <c r="E50">
        <v>2</v>
      </c>
      <c r="F50" t="s">
        <v>19</v>
      </c>
      <c r="G50" t="s">
        <v>20</v>
      </c>
      <c r="H50" t="s">
        <v>18</v>
      </c>
      <c r="I50">
        <v>2</v>
      </c>
      <c r="J50" t="s">
        <v>16</v>
      </c>
      <c r="K50" t="s">
        <v>17</v>
      </c>
      <c r="L50">
        <v>42</v>
      </c>
      <c r="M50" t="str">
        <f>IF(Table1[[#This Row],[Age]]&lt;35,"Young People 0-35",IF(Table1[[#This Row],[Age]]&gt;54,"Senior Above 54","Middle Age 35-55"))</f>
        <v>Middle Age 35-55</v>
      </c>
      <c r="N50" t="s">
        <v>18</v>
      </c>
    </row>
    <row r="51" spans="1:14" x14ac:dyDescent="0.3">
      <c r="A51">
        <v>14939</v>
      </c>
      <c r="B51" t="s">
        <v>37</v>
      </c>
      <c r="C51" t="s">
        <v>39</v>
      </c>
      <c r="D51" s="3">
        <v>40000</v>
      </c>
      <c r="E51">
        <v>0</v>
      </c>
      <c r="F51" t="s">
        <v>13</v>
      </c>
      <c r="G51" t="s">
        <v>20</v>
      </c>
      <c r="H51" t="s">
        <v>15</v>
      </c>
      <c r="I51">
        <v>0</v>
      </c>
      <c r="J51" t="s">
        <v>16</v>
      </c>
      <c r="K51" t="s">
        <v>17</v>
      </c>
      <c r="L51">
        <v>39</v>
      </c>
      <c r="M51" t="str">
        <f>IF(Table1[[#This Row],[Age]]&lt;35,"Young People 0-35",IF(Table1[[#This Row],[Age]]&gt;54,"Senior Above 54","Middle Age 35-55"))</f>
        <v>Middle Age 35-55</v>
      </c>
      <c r="N51" t="s">
        <v>15</v>
      </c>
    </row>
    <row r="52" spans="1:14" x14ac:dyDescent="0.3">
      <c r="A52">
        <v>13826</v>
      </c>
      <c r="B52" t="s">
        <v>37</v>
      </c>
      <c r="C52" t="s">
        <v>38</v>
      </c>
      <c r="D52" s="3">
        <v>30000</v>
      </c>
      <c r="E52">
        <v>0</v>
      </c>
      <c r="F52" t="s">
        <v>19</v>
      </c>
      <c r="G52" t="s">
        <v>20</v>
      </c>
      <c r="H52" t="s">
        <v>18</v>
      </c>
      <c r="I52">
        <v>1</v>
      </c>
      <c r="J52" t="s">
        <v>16</v>
      </c>
      <c r="K52" t="s">
        <v>17</v>
      </c>
      <c r="L52">
        <v>28</v>
      </c>
      <c r="M52" t="str">
        <f>IF(Table1[[#This Row],[Age]]&lt;35,"Young People 0-35",IF(Table1[[#This Row],[Age]]&gt;54,"Senior Above 54","Middle Age 35-55"))</f>
        <v>Young People 0-35</v>
      </c>
      <c r="N52" t="s">
        <v>18</v>
      </c>
    </row>
    <row r="53" spans="1:14" x14ac:dyDescent="0.3">
      <c r="A53">
        <v>20619</v>
      </c>
      <c r="B53" t="s">
        <v>37</v>
      </c>
      <c r="C53" t="s">
        <v>39</v>
      </c>
      <c r="D53" s="3">
        <v>80000</v>
      </c>
      <c r="E53">
        <v>0</v>
      </c>
      <c r="F53" t="s">
        <v>13</v>
      </c>
      <c r="G53" t="s">
        <v>21</v>
      </c>
      <c r="H53" t="s">
        <v>18</v>
      </c>
      <c r="I53">
        <v>4</v>
      </c>
      <c r="J53" t="s">
        <v>46</v>
      </c>
      <c r="K53" t="s">
        <v>24</v>
      </c>
      <c r="L53">
        <v>35</v>
      </c>
      <c r="M53" t="str">
        <f>IF(Table1[[#This Row],[Age]]&lt;35,"Young People 0-35",IF(Table1[[#This Row],[Age]]&gt;54,"Senior Above 54","Middle Age 35-55"))</f>
        <v>Middle Age 35-55</v>
      </c>
      <c r="N53" t="s">
        <v>18</v>
      </c>
    </row>
    <row r="54" spans="1:14" x14ac:dyDescent="0.3">
      <c r="A54">
        <v>12558</v>
      </c>
      <c r="B54" t="s">
        <v>36</v>
      </c>
      <c r="C54" t="s">
        <v>38</v>
      </c>
      <c r="D54" s="3">
        <v>20000</v>
      </c>
      <c r="E54">
        <v>1</v>
      </c>
      <c r="F54" t="s">
        <v>13</v>
      </c>
      <c r="G54" t="s">
        <v>20</v>
      </c>
      <c r="H54" t="s">
        <v>15</v>
      </c>
      <c r="I54">
        <v>0</v>
      </c>
      <c r="J54" t="s">
        <v>16</v>
      </c>
      <c r="K54" t="s">
        <v>17</v>
      </c>
      <c r="L54">
        <v>65</v>
      </c>
      <c r="M54" t="str">
        <f>IF(Table1[[#This Row],[Age]]&lt;35,"Young People 0-35",IF(Table1[[#This Row],[Age]]&gt;54,"Senior Above 54","Middle Age 35-55"))</f>
        <v>Senior Above 54</v>
      </c>
      <c r="N54" t="s">
        <v>18</v>
      </c>
    </row>
    <row r="55" spans="1:14" x14ac:dyDescent="0.3">
      <c r="A55">
        <v>24871</v>
      </c>
      <c r="B55" t="s">
        <v>37</v>
      </c>
      <c r="C55" t="s">
        <v>38</v>
      </c>
      <c r="D55" s="3">
        <v>90000</v>
      </c>
      <c r="E55">
        <v>4</v>
      </c>
      <c r="F55" t="s">
        <v>27</v>
      </c>
      <c r="G55" t="s">
        <v>28</v>
      </c>
      <c r="H55" t="s">
        <v>18</v>
      </c>
      <c r="I55">
        <v>3</v>
      </c>
      <c r="J55" t="s">
        <v>23</v>
      </c>
      <c r="K55" t="s">
        <v>17</v>
      </c>
      <c r="L55">
        <v>56</v>
      </c>
      <c r="M55" t="str">
        <f>IF(Table1[[#This Row],[Age]]&lt;35,"Young People 0-35",IF(Table1[[#This Row],[Age]]&gt;54,"Senior Above 54","Middle Age 35-55"))</f>
        <v>Senior Above 54</v>
      </c>
      <c r="N55" t="s">
        <v>18</v>
      </c>
    </row>
    <row r="56" spans="1:14" x14ac:dyDescent="0.3">
      <c r="A56">
        <v>17319</v>
      </c>
      <c r="B56" t="s">
        <v>37</v>
      </c>
      <c r="C56" t="s">
        <v>38</v>
      </c>
      <c r="D56" s="3">
        <v>70000</v>
      </c>
      <c r="E56">
        <v>0</v>
      </c>
      <c r="F56" t="s">
        <v>13</v>
      </c>
      <c r="G56" t="s">
        <v>21</v>
      </c>
      <c r="H56" t="s">
        <v>18</v>
      </c>
      <c r="I56">
        <v>1</v>
      </c>
      <c r="J56" t="s">
        <v>23</v>
      </c>
      <c r="K56" t="s">
        <v>24</v>
      </c>
      <c r="L56">
        <v>42</v>
      </c>
      <c r="M56" t="str">
        <f>IF(Table1[[#This Row],[Age]]&lt;35,"Young People 0-35",IF(Table1[[#This Row],[Age]]&gt;54,"Senior Above 54","Middle Age 35-55"))</f>
        <v>Middle Age 35-55</v>
      </c>
      <c r="N56" t="s">
        <v>18</v>
      </c>
    </row>
    <row r="57" spans="1:14" x14ac:dyDescent="0.3">
      <c r="A57">
        <v>28906</v>
      </c>
      <c r="B57" t="s">
        <v>36</v>
      </c>
      <c r="C57" t="s">
        <v>39</v>
      </c>
      <c r="D57" s="3">
        <v>80000</v>
      </c>
      <c r="E57">
        <v>4</v>
      </c>
      <c r="F57" t="s">
        <v>27</v>
      </c>
      <c r="G57" t="s">
        <v>21</v>
      </c>
      <c r="H57" t="s">
        <v>15</v>
      </c>
      <c r="I57">
        <v>2</v>
      </c>
      <c r="J57" t="s">
        <v>46</v>
      </c>
      <c r="K57" t="s">
        <v>17</v>
      </c>
      <c r="L57">
        <v>54</v>
      </c>
      <c r="M57" t="str">
        <f>IF(Table1[[#This Row],[Age]]&lt;35,"Young People 0-35",IF(Table1[[#This Row],[Age]]&gt;54,"Senior Above 54","Middle Age 35-55"))</f>
        <v>Middle Age 35-55</v>
      </c>
      <c r="N57" t="s">
        <v>18</v>
      </c>
    </row>
    <row r="58" spans="1:14" x14ac:dyDescent="0.3">
      <c r="A58">
        <v>12808</v>
      </c>
      <c r="B58" t="s">
        <v>36</v>
      </c>
      <c r="C58" t="s">
        <v>39</v>
      </c>
      <c r="D58" s="3">
        <v>40000</v>
      </c>
      <c r="E58">
        <v>0</v>
      </c>
      <c r="F58" t="s">
        <v>13</v>
      </c>
      <c r="G58" t="s">
        <v>20</v>
      </c>
      <c r="H58" t="s">
        <v>15</v>
      </c>
      <c r="I58">
        <v>0</v>
      </c>
      <c r="J58" t="s">
        <v>16</v>
      </c>
      <c r="K58" t="s">
        <v>17</v>
      </c>
      <c r="L58">
        <v>38</v>
      </c>
      <c r="M58" t="str">
        <f>IF(Table1[[#This Row],[Age]]&lt;35,"Young People 0-35",IF(Table1[[#This Row],[Age]]&gt;54,"Senior Above 54","Middle Age 35-55"))</f>
        <v>Middle Age 35-55</v>
      </c>
      <c r="N58" t="s">
        <v>15</v>
      </c>
    </row>
    <row r="59" spans="1:14" x14ac:dyDescent="0.3">
      <c r="A59">
        <v>20567</v>
      </c>
      <c r="B59" t="s">
        <v>36</v>
      </c>
      <c r="C59" t="s">
        <v>39</v>
      </c>
      <c r="D59" s="3">
        <v>130000</v>
      </c>
      <c r="E59">
        <v>4</v>
      </c>
      <c r="F59" t="s">
        <v>19</v>
      </c>
      <c r="G59" t="s">
        <v>21</v>
      </c>
      <c r="H59" t="s">
        <v>18</v>
      </c>
      <c r="I59">
        <v>4</v>
      </c>
      <c r="J59" t="s">
        <v>23</v>
      </c>
      <c r="K59" t="s">
        <v>17</v>
      </c>
      <c r="L59">
        <v>61</v>
      </c>
      <c r="M59" t="str">
        <f>IF(Table1[[#This Row],[Age]]&lt;35,"Young People 0-35",IF(Table1[[#This Row],[Age]]&gt;54,"Senior Above 54","Middle Age 35-55"))</f>
        <v>Senior Above 54</v>
      </c>
      <c r="N59" t="s">
        <v>15</v>
      </c>
    </row>
    <row r="60" spans="1:14" x14ac:dyDescent="0.3">
      <c r="A60">
        <v>25502</v>
      </c>
      <c r="B60" t="s">
        <v>36</v>
      </c>
      <c r="C60" t="s">
        <v>38</v>
      </c>
      <c r="D60" s="3">
        <v>40000</v>
      </c>
      <c r="E60">
        <v>1</v>
      </c>
      <c r="F60" t="s">
        <v>13</v>
      </c>
      <c r="G60" t="s">
        <v>14</v>
      </c>
      <c r="H60" t="s">
        <v>15</v>
      </c>
      <c r="I60">
        <v>0</v>
      </c>
      <c r="J60" t="s">
        <v>16</v>
      </c>
      <c r="K60" t="s">
        <v>17</v>
      </c>
      <c r="L60">
        <v>43</v>
      </c>
      <c r="M60" t="str">
        <f>IF(Table1[[#This Row],[Age]]&lt;35,"Young People 0-35",IF(Table1[[#This Row],[Age]]&gt;54,"Senior Above 54","Middle Age 35-55"))</f>
        <v>Middle Age 35-55</v>
      </c>
      <c r="N60" t="s">
        <v>15</v>
      </c>
    </row>
    <row r="61" spans="1:14" x14ac:dyDescent="0.3">
      <c r="A61">
        <v>15580</v>
      </c>
      <c r="B61" t="s">
        <v>36</v>
      </c>
      <c r="C61" t="s">
        <v>39</v>
      </c>
      <c r="D61" s="3">
        <v>60000</v>
      </c>
      <c r="E61">
        <v>2</v>
      </c>
      <c r="F61" t="s">
        <v>13</v>
      </c>
      <c r="G61" t="s">
        <v>21</v>
      </c>
      <c r="H61" t="s">
        <v>15</v>
      </c>
      <c r="I61">
        <v>1</v>
      </c>
      <c r="J61" t="s">
        <v>22</v>
      </c>
      <c r="K61" t="s">
        <v>24</v>
      </c>
      <c r="L61">
        <v>38</v>
      </c>
      <c r="M61" t="str">
        <f>IF(Table1[[#This Row],[Age]]&lt;35,"Young People 0-35",IF(Table1[[#This Row],[Age]]&gt;54,"Senior Above 54","Middle Age 35-55"))</f>
        <v>Middle Age 35-55</v>
      </c>
      <c r="N61" t="s">
        <v>15</v>
      </c>
    </row>
    <row r="62" spans="1:14" x14ac:dyDescent="0.3">
      <c r="A62">
        <v>24185</v>
      </c>
      <c r="B62" t="s">
        <v>37</v>
      </c>
      <c r="C62" t="s">
        <v>38</v>
      </c>
      <c r="D62" s="3">
        <v>10000</v>
      </c>
      <c r="E62">
        <v>1</v>
      </c>
      <c r="F62" t="s">
        <v>27</v>
      </c>
      <c r="G62" t="s">
        <v>25</v>
      </c>
      <c r="H62" t="s">
        <v>18</v>
      </c>
      <c r="I62">
        <v>1</v>
      </c>
      <c r="J62" t="s">
        <v>26</v>
      </c>
      <c r="K62" t="s">
        <v>17</v>
      </c>
      <c r="L62">
        <v>45</v>
      </c>
      <c r="M62" t="str">
        <f>IF(Table1[[#This Row],[Age]]&lt;35,"Young People 0-35",IF(Table1[[#This Row],[Age]]&gt;54,"Senior Above 54","Middle Age 35-55"))</f>
        <v>Middle Age 35-55</v>
      </c>
      <c r="N62" t="s">
        <v>18</v>
      </c>
    </row>
    <row r="63" spans="1:14" x14ac:dyDescent="0.3">
      <c r="A63">
        <v>19291</v>
      </c>
      <c r="B63" t="s">
        <v>37</v>
      </c>
      <c r="C63" t="s">
        <v>38</v>
      </c>
      <c r="D63" s="3">
        <v>10000</v>
      </c>
      <c r="E63">
        <v>2</v>
      </c>
      <c r="F63" t="s">
        <v>27</v>
      </c>
      <c r="G63" t="s">
        <v>25</v>
      </c>
      <c r="H63" t="s">
        <v>15</v>
      </c>
      <c r="I63">
        <v>0</v>
      </c>
      <c r="J63" t="s">
        <v>16</v>
      </c>
      <c r="K63" t="s">
        <v>17</v>
      </c>
      <c r="L63">
        <v>35</v>
      </c>
      <c r="M63" t="str">
        <f>IF(Table1[[#This Row],[Age]]&lt;35,"Young People 0-35",IF(Table1[[#This Row],[Age]]&gt;54,"Senior Above 54","Middle Age 35-55"))</f>
        <v>Middle Age 35-55</v>
      </c>
      <c r="N63" t="s">
        <v>18</v>
      </c>
    </row>
    <row r="64" spans="1:14" x14ac:dyDescent="0.3">
      <c r="A64">
        <v>16713</v>
      </c>
      <c r="B64" t="s">
        <v>36</v>
      </c>
      <c r="C64" t="s">
        <v>39</v>
      </c>
      <c r="D64" s="3">
        <v>40000</v>
      </c>
      <c r="E64">
        <v>2</v>
      </c>
      <c r="F64" t="s">
        <v>13</v>
      </c>
      <c r="G64" t="s">
        <v>28</v>
      </c>
      <c r="H64" t="s">
        <v>15</v>
      </c>
      <c r="I64">
        <v>1</v>
      </c>
      <c r="J64" t="s">
        <v>16</v>
      </c>
      <c r="K64" t="s">
        <v>24</v>
      </c>
      <c r="L64">
        <v>52</v>
      </c>
      <c r="M64" t="str">
        <f>IF(Table1[[#This Row],[Age]]&lt;35,"Young People 0-35",IF(Table1[[#This Row],[Age]]&gt;54,"Senior Above 54","Middle Age 35-55"))</f>
        <v>Middle Age 35-55</v>
      </c>
      <c r="N64" t="s">
        <v>15</v>
      </c>
    </row>
    <row r="65" spans="1:14" x14ac:dyDescent="0.3">
      <c r="A65">
        <v>16185</v>
      </c>
      <c r="B65" t="s">
        <v>37</v>
      </c>
      <c r="C65" t="s">
        <v>39</v>
      </c>
      <c r="D65" s="3">
        <v>60000</v>
      </c>
      <c r="E65">
        <v>4</v>
      </c>
      <c r="F65" t="s">
        <v>13</v>
      </c>
      <c r="G65" t="s">
        <v>21</v>
      </c>
      <c r="H65" t="s">
        <v>15</v>
      </c>
      <c r="I65">
        <v>3</v>
      </c>
      <c r="J65" t="s">
        <v>46</v>
      </c>
      <c r="K65" t="s">
        <v>24</v>
      </c>
      <c r="L65">
        <v>41</v>
      </c>
      <c r="M65" t="str">
        <f>IF(Table1[[#This Row],[Age]]&lt;35,"Young People 0-35",IF(Table1[[#This Row],[Age]]&gt;54,"Senior Above 54","Middle Age 35-55"))</f>
        <v>Middle Age 35-55</v>
      </c>
      <c r="N65" t="s">
        <v>18</v>
      </c>
    </row>
    <row r="66" spans="1:14" x14ac:dyDescent="0.3">
      <c r="A66">
        <v>14927</v>
      </c>
      <c r="B66" t="s">
        <v>36</v>
      </c>
      <c r="C66" t="s">
        <v>38</v>
      </c>
      <c r="D66" s="3">
        <v>30000</v>
      </c>
      <c r="E66">
        <v>1</v>
      </c>
      <c r="F66" t="s">
        <v>13</v>
      </c>
      <c r="G66" t="s">
        <v>20</v>
      </c>
      <c r="H66" t="s">
        <v>15</v>
      </c>
      <c r="I66">
        <v>0</v>
      </c>
      <c r="J66" t="s">
        <v>16</v>
      </c>
      <c r="K66" t="s">
        <v>17</v>
      </c>
      <c r="L66">
        <v>37</v>
      </c>
      <c r="M66" t="str">
        <f>IF(Table1[[#This Row],[Age]]&lt;35,"Young People 0-35",IF(Table1[[#This Row],[Age]]&gt;54,"Senior Above 54","Middle Age 35-55"))</f>
        <v>Middle Age 35-55</v>
      </c>
      <c r="N66" t="s">
        <v>15</v>
      </c>
    </row>
    <row r="67" spans="1:14" x14ac:dyDescent="0.3">
      <c r="A67">
        <v>29337</v>
      </c>
      <c r="B67" t="s">
        <v>37</v>
      </c>
      <c r="C67" t="s">
        <v>39</v>
      </c>
      <c r="D67" s="3">
        <v>30000</v>
      </c>
      <c r="E67">
        <v>2</v>
      </c>
      <c r="F67" t="s">
        <v>19</v>
      </c>
      <c r="G67" t="s">
        <v>20</v>
      </c>
      <c r="H67" t="s">
        <v>15</v>
      </c>
      <c r="I67">
        <v>2</v>
      </c>
      <c r="J67" t="s">
        <v>23</v>
      </c>
      <c r="K67" t="s">
        <v>24</v>
      </c>
      <c r="L67">
        <v>68</v>
      </c>
      <c r="M67" t="str">
        <f>IF(Table1[[#This Row],[Age]]&lt;35,"Young People 0-35",IF(Table1[[#This Row],[Age]]&gt;54,"Senior Above 54","Middle Age 35-55"))</f>
        <v>Senior Above 54</v>
      </c>
      <c r="N67" t="s">
        <v>18</v>
      </c>
    </row>
    <row r="68" spans="1:14" x14ac:dyDescent="0.3">
      <c r="A68">
        <v>29355</v>
      </c>
      <c r="B68" t="s">
        <v>36</v>
      </c>
      <c r="C68" t="s">
        <v>38</v>
      </c>
      <c r="D68" s="3">
        <v>40000</v>
      </c>
      <c r="E68">
        <v>0</v>
      </c>
      <c r="F68" t="s">
        <v>31</v>
      </c>
      <c r="G68" t="s">
        <v>20</v>
      </c>
      <c r="H68" t="s">
        <v>15</v>
      </c>
      <c r="I68">
        <v>0</v>
      </c>
      <c r="J68" t="s">
        <v>16</v>
      </c>
      <c r="K68" t="s">
        <v>17</v>
      </c>
      <c r="L68">
        <v>37</v>
      </c>
      <c r="M68" t="str">
        <f>IF(Table1[[#This Row],[Age]]&lt;35,"Young People 0-35",IF(Table1[[#This Row],[Age]]&gt;54,"Senior Above 54","Middle Age 35-55"))</f>
        <v>Middle Age 35-55</v>
      </c>
      <c r="N68" t="s">
        <v>15</v>
      </c>
    </row>
    <row r="69" spans="1:14" x14ac:dyDescent="0.3">
      <c r="A69">
        <v>25303</v>
      </c>
      <c r="B69" t="s">
        <v>37</v>
      </c>
      <c r="C69" t="s">
        <v>39</v>
      </c>
      <c r="D69" s="3">
        <v>30000</v>
      </c>
      <c r="E69">
        <v>0</v>
      </c>
      <c r="F69" t="s">
        <v>27</v>
      </c>
      <c r="G69" t="s">
        <v>25</v>
      </c>
      <c r="H69" t="s">
        <v>15</v>
      </c>
      <c r="I69">
        <v>1</v>
      </c>
      <c r="J69" t="s">
        <v>22</v>
      </c>
      <c r="K69" t="s">
        <v>17</v>
      </c>
      <c r="L69">
        <v>33</v>
      </c>
      <c r="M69" t="str">
        <f>IF(Table1[[#This Row],[Age]]&lt;35,"Young People 0-35",IF(Table1[[#This Row],[Age]]&gt;54,"Senior Above 54","Middle Age 35-55"))</f>
        <v>Young People 0-35</v>
      </c>
      <c r="N69" t="s">
        <v>15</v>
      </c>
    </row>
    <row r="70" spans="1:14" x14ac:dyDescent="0.3">
      <c r="A70">
        <v>14813</v>
      </c>
      <c r="B70" t="s">
        <v>37</v>
      </c>
      <c r="C70" t="s">
        <v>38</v>
      </c>
      <c r="D70" s="3">
        <v>20000</v>
      </c>
      <c r="E70">
        <v>4</v>
      </c>
      <c r="F70" t="s">
        <v>27</v>
      </c>
      <c r="G70" t="s">
        <v>25</v>
      </c>
      <c r="H70" t="s">
        <v>15</v>
      </c>
      <c r="I70">
        <v>1</v>
      </c>
      <c r="J70" t="s">
        <v>16</v>
      </c>
      <c r="K70" t="s">
        <v>17</v>
      </c>
      <c r="L70">
        <v>43</v>
      </c>
      <c r="M70" t="str">
        <f>IF(Table1[[#This Row],[Age]]&lt;35,"Young People 0-35",IF(Table1[[#This Row],[Age]]&gt;54,"Senior Above 54","Middle Age 35-55"))</f>
        <v>Middle Age 35-55</v>
      </c>
      <c r="N70" t="s">
        <v>15</v>
      </c>
    </row>
    <row r="71" spans="1:14" x14ac:dyDescent="0.3">
      <c r="A71">
        <v>16438</v>
      </c>
      <c r="B71" t="s">
        <v>36</v>
      </c>
      <c r="C71" t="s">
        <v>38</v>
      </c>
      <c r="D71" s="3">
        <v>10000</v>
      </c>
      <c r="E71">
        <v>0</v>
      </c>
      <c r="F71" t="s">
        <v>29</v>
      </c>
      <c r="G71" t="s">
        <v>25</v>
      </c>
      <c r="H71" t="s">
        <v>18</v>
      </c>
      <c r="I71">
        <v>2</v>
      </c>
      <c r="J71" t="s">
        <v>16</v>
      </c>
      <c r="K71" t="s">
        <v>17</v>
      </c>
      <c r="L71">
        <v>30</v>
      </c>
      <c r="M71" t="str">
        <f>IF(Table1[[#This Row],[Age]]&lt;35,"Young People 0-35",IF(Table1[[#This Row],[Age]]&gt;54,"Senior Above 54","Middle Age 35-55"))</f>
        <v>Young People 0-35</v>
      </c>
      <c r="N71" t="s">
        <v>18</v>
      </c>
    </row>
    <row r="72" spans="1:14" x14ac:dyDescent="0.3">
      <c r="A72">
        <v>14238</v>
      </c>
      <c r="B72" t="s">
        <v>36</v>
      </c>
      <c r="C72" t="s">
        <v>39</v>
      </c>
      <c r="D72" s="3">
        <v>120000</v>
      </c>
      <c r="E72">
        <v>0</v>
      </c>
      <c r="F72" t="s">
        <v>29</v>
      </c>
      <c r="G72" t="s">
        <v>21</v>
      </c>
      <c r="H72" t="s">
        <v>15</v>
      </c>
      <c r="I72">
        <v>4</v>
      </c>
      <c r="J72" t="s">
        <v>46</v>
      </c>
      <c r="K72" t="s">
        <v>24</v>
      </c>
      <c r="L72">
        <v>36</v>
      </c>
      <c r="M72" t="str">
        <f>IF(Table1[[#This Row],[Age]]&lt;35,"Young People 0-35",IF(Table1[[#This Row],[Age]]&gt;54,"Senior Above 54","Middle Age 35-55"))</f>
        <v>Middle Age 35-55</v>
      </c>
      <c r="N72" t="s">
        <v>15</v>
      </c>
    </row>
    <row r="73" spans="1:14" x14ac:dyDescent="0.3">
      <c r="A73">
        <v>16200</v>
      </c>
      <c r="B73" t="s">
        <v>37</v>
      </c>
      <c r="C73" t="s">
        <v>38</v>
      </c>
      <c r="D73" s="3">
        <v>10000</v>
      </c>
      <c r="E73">
        <v>0</v>
      </c>
      <c r="F73" t="s">
        <v>29</v>
      </c>
      <c r="G73" t="s">
        <v>25</v>
      </c>
      <c r="H73" t="s">
        <v>18</v>
      </c>
      <c r="I73">
        <v>2</v>
      </c>
      <c r="J73" t="s">
        <v>16</v>
      </c>
      <c r="K73" t="s">
        <v>17</v>
      </c>
      <c r="L73">
        <v>35</v>
      </c>
      <c r="M73" t="str">
        <f>IF(Table1[[#This Row],[Age]]&lt;35,"Young People 0-35",IF(Table1[[#This Row],[Age]]&gt;54,"Senior Above 54","Middle Age 35-55"))</f>
        <v>Middle Age 35-55</v>
      </c>
      <c r="N73" t="s">
        <v>18</v>
      </c>
    </row>
    <row r="74" spans="1:14" x14ac:dyDescent="0.3">
      <c r="A74">
        <v>24857</v>
      </c>
      <c r="B74" t="s">
        <v>36</v>
      </c>
      <c r="C74" t="s">
        <v>38</v>
      </c>
      <c r="D74" s="3">
        <v>130000</v>
      </c>
      <c r="E74">
        <v>3</v>
      </c>
      <c r="F74" t="s">
        <v>27</v>
      </c>
      <c r="G74" t="s">
        <v>21</v>
      </c>
      <c r="H74" t="s">
        <v>15</v>
      </c>
      <c r="I74">
        <v>4</v>
      </c>
      <c r="J74" t="s">
        <v>16</v>
      </c>
      <c r="K74" t="s">
        <v>17</v>
      </c>
      <c r="L74">
        <v>52</v>
      </c>
      <c r="M74" t="str">
        <f>IF(Table1[[#This Row],[Age]]&lt;35,"Young People 0-35",IF(Table1[[#This Row],[Age]]&gt;54,"Senior Above 54","Middle Age 35-55"))</f>
        <v>Middle Age 35-55</v>
      </c>
      <c r="N74" t="s">
        <v>18</v>
      </c>
    </row>
    <row r="75" spans="1:14" x14ac:dyDescent="0.3">
      <c r="A75">
        <v>26956</v>
      </c>
      <c r="B75" t="s">
        <v>37</v>
      </c>
      <c r="C75" t="s">
        <v>38</v>
      </c>
      <c r="D75" s="3">
        <v>20000</v>
      </c>
      <c r="E75">
        <v>0</v>
      </c>
      <c r="F75" t="s">
        <v>19</v>
      </c>
      <c r="G75" t="s">
        <v>25</v>
      </c>
      <c r="H75" t="s">
        <v>18</v>
      </c>
      <c r="I75">
        <v>1</v>
      </c>
      <c r="J75" t="s">
        <v>22</v>
      </c>
      <c r="K75" t="s">
        <v>17</v>
      </c>
      <c r="L75">
        <v>36</v>
      </c>
      <c r="M75" t="str">
        <f>IF(Table1[[#This Row],[Age]]&lt;35,"Young People 0-35",IF(Table1[[#This Row],[Age]]&gt;54,"Senior Above 54","Middle Age 35-55"))</f>
        <v>Middle Age 35-55</v>
      </c>
      <c r="N75" t="s">
        <v>15</v>
      </c>
    </row>
    <row r="76" spans="1:14" x14ac:dyDescent="0.3">
      <c r="A76">
        <v>14517</v>
      </c>
      <c r="B76" t="s">
        <v>36</v>
      </c>
      <c r="C76" t="s">
        <v>38</v>
      </c>
      <c r="D76" s="3">
        <v>20000</v>
      </c>
      <c r="E76">
        <v>3</v>
      </c>
      <c r="F76" t="s">
        <v>27</v>
      </c>
      <c r="G76" t="s">
        <v>14</v>
      </c>
      <c r="H76" t="s">
        <v>18</v>
      </c>
      <c r="I76">
        <v>2</v>
      </c>
      <c r="J76" t="s">
        <v>26</v>
      </c>
      <c r="K76" t="s">
        <v>24</v>
      </c>
      <c r="L76">
        <v>62</v>
      </c>
      <c r="M76" t="str">
        <f>IF(Table1[[#This Row],[Age]]&lt;35,"Young People 0-35",IF(Table1[[#This Row],[Age]]&gt;54,"Senior Above 54","Middle Age 35-55"))</f>
        <v>Senior Above 54</v>
      </c>
      <c r="N76" t="s">
        <v>18</v>
      </c>
    </row>
    <row r="77" spans="1:14" x14ac:dyDescent="0.3">
      <c r="A77">
        <v>12678</v>
      </c>
      <c r="B77" t="s">
        <v>37</v>
      </c>
      <c r="C77" t="s">
        <v>38</v>
      </c>
      <c r="D77" s="3">
        <v>130000</v>
      </c>
      <c r="E77">
        <v>4</v>
      </c>
      <c r="F77" t="s">
        <v>27</v>
      </c>
      <c r="G77" t="s">
        <v>28</v>
      </c>
      <c r="H77" t="s">
        <v>15</v>
      </c>
      <c r="I77">
        <v>4</v>
      </c>
      <c r="J77" t="s">
        <v>16</v>
      </c>
      <c r="K77" t="s">
        <v>24</v>
      </c>
      <c r="L77">
        <v>31</v>
      </c>
      <c r="M77" t="str">
        <f>IF(Table1[[#This Row],[Age]]&lt;35,"Young People 0-35",IF(Table1[[#This Row],[Age]]&gt;54,"Senior Above 54","Middle Age 35-55"))</f>
        <v>Young People 0-35</v>
      </c>
      <c r="N77" t="s">
        <v>18</v>
      </c>
    </row>
    <row r="78" spans="1:14" x14ac:dyDescent="0.3">
      <c r="A78">
        <v>16188</v>
      </c>
      <c r="B78" t="s">
        <v>37</v>
      </c>
      <c r="C78" t="s">
        <v>38</v>
      </c>
      <c r="D78" s="3">
        <v>20000</v>
      </c>
      <c r="E78">
        <v>0</v>
      </c>
      <c r="F78" t="s">
        <v>29</v>
      </c>
      <c r="G78" t="s">
        <v>25</v>
      </c>
      <c r="H78" t="s">
        <v>18</v>
      </c>
      <c r="I78">
        <v>2</v>
      </c>
      <c r="J78" t="s">
        <v>26</v>
      </c>
      <c r="K78" t="s">
        <v>17</v>
      </c>
      <c r="L78">
        <v>26</v>
      </c>
      <c r="M78" t="str">
        <f>IF(Table1[[#This Row],[Age]]&lt;35,"Young People 0-35",IF(Table1[[#This Row],[Age]]&gt;54,"Senior Above 54","Middle Age 35-55"))</f>
        <v>Young People 0-35</v>
      </c>
      <c r="N78" t="s">
        <v>18</v>
      </c>
    </row>
    <row r="79" spans="1:14" x14ac:dyDescent="0.3">
      <c r="A79">
        <v>27969</v>
      </c>
      <c r="B79" t="s">
        <v>36</v>
      </c>
      <c r="C79" t="s">
        <v>39</v>
      </c>
      <c r="D79" s="3">
        <v>80000</v>
      </c>
      <c r="E79">
        <v>0</v>
      </c>
      <c r="F79" t="s">
        <v>13</v>
      </c>
      <c r="G79" t="s">
        <v>21</v>
      </c>
      <c r="H79" t="s">
        <v>15</v>
      </c>
      <c r="I79">
        <v>2</v>
      </c>
      <c r="J79" t="s">
        <v>46</v>
      </c>
      <c r="K79" t="s">
        <v>24</v>
      </c>
      <c r="L79">
        <v>29</v>
      </c>
      <c r="M79" t="str">
        <f>IF(Table1[[#This Row],[Age]]&lt;35,"Young People 0-35",IF(Table1[[#This Row],[Age]]&gt;54,"Senior Above 54","Middle Age 35-55"))</f>
        <v>Young People 0-35</v>
      </c>
      <c r="N79" t="s">
        <v>15</v>
      </c>
    </row>
    <row r="80" spans="1:14" x14ac:dyDescent="0.3">
      <c r="A80">
        <v>15752</v>
      </c>
      <c r="B80" t="s">
        <v>36</v>
      </c>
      <c r="C80" t="s">
        <v>39</v>
      </c>
      <c r="D80" s="3">
        <v>80000</v>
      </c>
      <c r="E80">
        <v>2</v>
      </c>
      <c r="F80" t="s">
        <v>27</v>
      </c>
      <c r="G80" t="s">
        <v>14</v>
      </c>
      <c r="H80" t="s">
        <v>18</v>
      </c>
      <c r="I80">
        <v>2</v>
      </c>
      <c r="J80" t="s">
        <v>26</v>
      </c>
      <c r="K80" t="s">
        <v>24</v>
      </c>
      <c r="L80">
        <v>50</v>
      </c>
      <c r="M80" t="str">
        <f>IF(Table1[[#This Row],[Age]]&lt;35,"Young People 0-35",IF(Table1[[#This Row],[Age]]&gt;54,"Senior Above 54","Middle Age 35-55"))</f>
        <v>Middle Age 35-55</v>
      </c>
      <c r="N80" t="s">
        <v>15</v>
      </c>
    </row>
    <row r="81" spans="1:14" x14ac:dyDescent="0.3">
      <c r="A81">
        <v>27745</v>
      </c>
      <c r="B81" t="s">
        <v>37</v>
      </c>
      <c r="C81" t="s">
        <v>39</v>
      </c>
      <c r="D81" s="3">
        <v>40000</v>
      </c>
      <c r="E81">
        <v>2</v>
      </c>
      <c r="F81" t="s">
        <v>13</v>
      </c>
      <c r="G81" t="s">
        <v>28</v>
      </c>
      <c r="H81" t="s">
        <v>15</v>
      </c>
      <c r="I81">
        <v>2</v>
      </c>
      <c r="J81" t="s">
        <v>23</v>
      </c>
      <c r="K81" t="s">
        <v>24</v>
      </c>
      <c r="L81">
        <v>63</v>
      </c>
      <c r="M81" t="str">
        <f>IF(Table1[[#This Row],[Age]]&lt;35,"Young People 0-35",IF(Table1[[#This Row],[Age]]&gt;54,"Senior Above 54","Middle Age 35-55"))</f>
        <v>Senior Above 54</v>
      </c>
      <c r="N81" t="s">
        <v>15</v>
      </c>
    </row>
    <row r="82" spans="1:14" x14ac:dyDescent="0.3">
      <c r="A82">
        <v>20828</v>
      </c>
      <c r="B82" t="s">
        <v>36</v>
      </c>
      <c r="C82" t="s">
        <v>38</v>
      </c>
      <c r="D82" s="3">
        <v>30000</v>
      </c>
      <c r="E82">
        <v>4</v>
      </c>
      <c r="F82" t="s">
        <v>31</v>
      </c>
      <c r="G82" t="s">
        <v>20</v>
      </c>
      <c r="H82" t="s">
        <v>15</v>
      </c>
      <c r="I82">
        <v>0</v>
      </c>
      <c r="J82" t="s">
        <v>16</v>
      </c>
      <c r="K82" t="s">
        <v>17</v>
      </c>
      <c r="L82">
        <v>45</v>
      </c>
      <c r="M82" t="str">
        <f>IF(Table1[[#This Row],[Age]]&lt;35,"Young People 0-35",IF(Table1[[#This Row],[Age]]&gt;54,"Senior Above 54","Middle Age 35-55"))</f>
        <v>Middle Age 35-55</v>
      </c>
      <c r="N82" t="s">
        <v>15</v>
      </c>
    </row>
    <row r="83" spans="1:14" x14ac:dyDescent="0.3">
      <c r="A83">
        <v>19461</v>
      </c>
      <c r="B83" t="s">
        <v>37</v>
      </c>
      <c r="C83" t="s">
        <v>38</v>
      </c>
      <c r="D83" s="3">
        <v>10000</v>
      </c>
      <c r="E83">
        <v>4</v>
      </c>
      <c r="F83" t="s">
        <v>29</v>
      </c>
      <c r="G83" t="s">
        <v>25</v>
      </c>
      <c r="H83" t="s">
        <v>15</v>
      </c>
      <c r="I83">
        <v>2</v>
      </c>
      <c r="J83" t="s">
        <v>16</v>
      </c>
      <c r="K83" t="s">
        <v>17</v>
      </c>
      <c r="L83">
        <v>40</v>
      </c>
      <c r="M83" t="str">
        <f>IF(Table1[[#This Row],[Age]]&lt;35,"Young People 0-35",IF(Table1[[#This Row],[Age]]&gt;54,"Senior Above 54","Middle Age 35-55"))</f>
        <v>Middle Age 35-55</v>
      </c>
      <c r="N83" t="s">
        <v>18</v>
      </c>
    </row>
    <row r="84" spans="1:14" x14ac:dyDescent="0.3">
      <c r="A84">
        <v>26941</v>
      </c>
      <c r="B84" t="s">
        <v>36</v>
      </c>
      <c r="C84" t="s">
        <v>39</v>
      </c>
      <c r="D84" s="3">
        <v>30000</v>
      </c>
      <c r="E84">
        <v>0</v>
      </c>
      <c r="F84" t="s">
        <v>13</v>
      </c>
      <c r="G84" t="s">
        <v>20</v>
      </c>
      <c r="H84" t="s">
        <v>15</v>
      </c>
      <c r="I84">
        <v>0</v>
      </c>
      <c r="J84" t="s">
        <v>16</v>
      </c>
      <c r="K84" t="s">
        <v>17</v>
      </c>
      <c r="L84">
        <v>47</v>
      </c>
      <c r="M84" t="str">
        <f>IF(Table1[[#This Row],[Age]]&lt;35,"Young People 0-35",IF(Table1[[#This Row],[Age]]&gt;54,"Senior Above 54","Middle Age 35-55"))</f>
        <v>Middle Age 35-55</v>
      </c>
      <c r="N84" t="s">
        <v>15</v>
      </c>
    </row>
    <row r="85" spans="1:14" x14ac:dyDescent="0.3">
      <c r="A85">
        <v>28412</v>
      </c>
      <c r="B85" t="s">
        <v>37</v>
      </c>
      <c r="C85" t="s">
        <v>39</v>
      </c>
      <c r="D85" s="3">
        <v>20000</v>
      </c>
      <c r="E85">
        <v>0</v>
      </c>
      <c r="F85" t="s">
        <v>27</v>
      </c>
      <c r="G85" t="s">
        <v>25</v>
      </c>
      <c r="H85" t="s">
        <v>18</v>
      </c>
      <c r="I85">
        <v>1</v>
      </c>
      <c r="J85" t="s">
        <v>22</v>
      </c>
      <c r="K85" t="s">
        <v>17</v>
      </c>
      <c r="L85">
        <v>29</v>
      </c>
      <c r="M85" t="str">
        <f>IF(Table1[[#This Row],[Age]]&lt;35,"Young People 0-35",IF(Table1[[#This Row],[Age]]&gt;54,"Senior Above 54","Middle Age 35-55"))</f>
        <v>Young People 0-35</v>
      </c>
      <c r="N85" t="s">
        <v>18</v>
      </c>
    </row>
    <row r="86" spans="1:14" x14ac:dyDescent="0.3">
      <c r="A86">
        <v>24485</v>
      </c>
      <c r="B86" t="s">
        <v>37</v>
      </c>
      <c r="C86" t="s">
        <v>39</v>
      </c>
      <c r="D86" s="3">
        <v>40000</v>
      </c>
      <c r="E86">
        <v>2</v>
      </c>
      <c r="F86" t="s">
        <v>13</v>
      </c>
      <c r="G86" t="s">
        <v>28</v>
      </c>
      <c r="H86" t="s">
        <v>18</v>
      </c>
      <c r="I86">
        <v>1</v>
      </c>
      <c r="J86" t="s">
        <v>23</v>
      </c>
      <c r="K86" t="s">
        <v>24</v>
      </c>
      <c r="L86">
        <v>52</v>
      </c>
      <c r="M86" t="str">
        <f>IF(Table1[[#This Row],[Age]]&lt;35,"Young People 0-35",IF(Table1[[#This Row],[Age]]&gt;54,"Senior Above 54","Middle Age 35-55"))</f>
        <v>Middle Age 35-55</v>
      </c>
      <c r="N86" t="s">
        <v>15</v>
      </c>
    </row>
    <row r="87" spans="1:14" x14ac:dyDescent="0.3">
      <c r="A87">
        <v>16514</v>
      </c>
      <c r="B87" t="s">
        <v>37</v>
      </c>
      <c r="C87" t="s">
        <v>39</v>
      </c>
      <c r="D87" s="3">
        <v>10000</v>
      </c>
      <c r="E87">
        <v>0</v>
      </c>
      <c r="F87" t="s">
        <v>19</v>
      </c>
      <c r="G87" t="s">
        <v>25</v>
      </c>
      <c r="H87" t="s">
        <v>15</v>
      </c>
      <c r="I87">
        <v>1</v>
      </c>
      <c r="J87" t="s">
        <v>26</v>
      </c>
      <c r="K87" t="s">
        <v>24</v>
      </c>
      <c r="L87">
        <v>26</v>
      </c>
      <c r="M87" t="str">
        <f>IF(Table1[[#This Row],[Age]]&lt;35,"Young People 0-35",IF(Table1[[#This Row],[Age]]&gt;54,"Senior Above 54","Middle Age 35-55"))</f>
        <v>Young People 0-35</v>
      </c>
      <c r="N87" t="s">
        <v>15</v>
      </c>
    </row>
    <row r="88" spans="1:14" x14ac:dyDescent="0.3">
      <c r="A88">
        <v>17191</v>
      </c>
      <c r="B88" t="s">
        <v>37</v>
      </c>
      <c r="C88" t="s">
        <v>39</v>
      </c>
      <c r="D88" s="3">
        <v>130000</v>
      </c>
      <c r="E88">
        <v>3</v>
      </c>
      <c r="F88" t="s">
        <v>19</v>
      </c>
      <c r="G88" t="s">
        <v>21</v>
      </c>
      <c r="H88" t="s">
        <v>18</v>
      </c>
      <c r="I88">
        <v>3</v>
      </c>
      <c r="J88" t="s">
        <v>16</v>
      </c>
      <c r="K88" t="s">
        <v>17</v>
      </c>
      <c r="L88">
        <v>51</v>
      </c>
      <c r="M88" t="str">
        <f>IF(Table1[[#This Row],[Age]]&lt;35,"Young People 0-35",IF(Table1[[#This Row],[Age]]&gt;54,"Senior Above 54","Middle Age 35-55"))</f>
        <v>Middle Age 35-55</v>
      </c>
      <c r="N88" t="s">
        <v>15</v>
      </c>
    </row>
    <row r="89" spans="1:14" x14ac:dyDescent="0.3">
      <c r="A89">
        <v>19608</v>
      </c>
      <c r="B89" t="s">
        <v>36</v>
      </c>
      <c r="C89" t="s">
        <v>39</v>
      </c>
      <c r="D89" s="3">
        <v>80000</v>
      </c>
      <c r="E89">
        <v>5</v>
      </c>
      <c r="F89" t="s">
        <v>13</v>
      </c>
      <c r="G89" t="s">
        <v>21</v>
      </c>
      <c r="H89" t="s">
        <v>15</v>
      </c>
      <c r="I89">
        <v>4</v>
      </c>
      <c r="J89" t="s">
        <v>26</v>
      </c>
      <c r="K89" t="s">
        <v>24</v>
      </c>
      <c r="L89">
        <v>40</v>
      </c>
      <c r="M89" t="str">
        <f>IF(Table1[[#This Row],[Age]]&lt;35,"Young People 0-35",IF(Table1[[#This Row],[Age]]&gt;54,"Senior Above 54","Middle Age 35-55"))</f>
        <v>Middle Age 35-55</v>
      </c>
      <c r="N89" t="s">
        <v>18</v>
      </c>
    </row>
    <row r="90" spans="1:14" x14ac:dyDescent="0.3">
      <c r="A90">
        <v>24119</v>
      </c>
      <c r="B90" t="s">
        <v>37</v>
      </c>
      <c r="C90" t="s">
        <v>39</v>
      </c>
      <c r="D90" s="3">
        <v>30000</v>
      </c>
      <c r="E90">
        <v>0</v>
      </c>
      <c r="F90" t="s">
        <v>19</v>
      </c>
      <c r="G90" t="s">
        <v>20</v>
      </c>
      <c r="H90" t="s">
        <v>18</v>
      </c>
      <c r="I90">
        <v>1</v>
      </c>
      <c r="J90" t="s">
        <v>22</v>
      </c>
      <c r="K90" t="s">
        <v>17</v>
      </c>
      <c r="L90">
        <v>29</v>
      </c>
      <c r="M90" t="str">
        <f>IF(Table1[[#This Row],[Age]]&lt;35,"Young People 0-35",IF(Table1[[#This Row],[Age]]&gt;54,"Senior Above 54","Middle Age 35-55"))</f>
        <v>Young People 0-35</v>
      </c>
      <c r="N90" t="s">
        <v>18</v>
      </c>
    </row>
    <row r="91" spans="1:14" x14ac:dyDescent="0.3">
      <c r="A91">
        <v>25458</v>
      </c>
      <c r="B91" t="s">
        <v>36</v>
      </c>
      <c r="C91" t="s">
        <v>39</v>
      </c>
      <c r="D91" s="3">
        <v>20000</v>
      </c>
      <c r="E91">
        <v>1</v>
      </c>
      <c r="F91" t="s">
        <v>27</v>
      </c>
      <c r="G91" t="s">
        <v>25</v>
      </c>
      <c r="H91" t="s">
        <v>18</v>
      </c>
      <c r="I91">
        <v>1</v>
      </c>
      <c r="J91" t="s">
        <v>26</v>
      </c>
      <c r="K91" t="s">
        <v>17</v>
      </c>
      <c r="L91">
        <v>40</v>
      </c>
      <c r="M91" t="str">
        <f>IF(Table1[[#This Row],[Age]]&lt;35,"Young People 0-35",IF(Table1[[#This Row],[Age]]&gt;54,"Senior Above 54","Middle Age 35-55"))</f>
        <v>Middle Age 35-55</v>
      </c>
      <c r="N91" t="s">
        <v>15</v>
      </c>
    </row>
    <row r="92" spans="1:14" x14ac:dyDescent="0.3">
      <c r="A92">
        <v>26886</v>
      </c>
      <c r="B92" t="s">
        <v>37</v>
      </c>
      <c r="C92" t="s">
        <v>38</v>
      </c>
      <c r="D92" s="3">
        <v>30000</v>
      </c>
      <c r="E92">
        <v>0</v>
      </c>
      <c r="F92" t="s">
        <v>19</v>
      </c>
      <c r="G92" t="s">
        <v>20</v>
      </c>
      <c r="H92" t="s">
        <v>18</v>
      </c>
      <c r="I92">
        <v>1</v>
      </c>
      <c r="J92" t="s">
        <v>16</v>
      </c>
      <c r="K92" t="s">
        <v>17</v>
      </c>
      <c r="L92">
        <v>29</v>
      </c>
      <c r="M92" t="str">
        <f>IF(Table1[[#This Row],[Age]]&lt;35,"Young People 0-35",IF(Table1[[#This Row],[Age]]&gt;54,"Senior Above 54","Middle Age 35-55"))</f>
        <v>Young People 0-35</v>
      </c>
      <c r="N92" t="s">
        <v>15</v>
      </c>
    </row>
    <row r="93" spans="1:14" x14ac:dyDescent="0.3">
      <c r="A93">
        <v>28436</v>
      </c>
      <c r="B93" t="s">
        <v>37</v>
      </c>
      <c r="C93" t="s">
        <v>39</v>
      </c>
      <c r="D93" s="3">
        <v>30000</v>
      </c>
      <c r="E93">
        <v>0</v>
      </c>
      <c r="F93" t="s">
        <v>19</v>
      </c>
      <c r="G93" t="s">
        <v>20</v>
      </c>
      <c r="H93" t="s">
        <v>18</v>
      </c>
      <c r="I93">
        <v>1</v>
      </c>
      <c r="J93" t="s">
        <v>16</v>
      </c>
      <c r="K93" t="s">
        <v>17</v>
      </c>
      <c r="L93">
        <v>30</v>
      </c>
      <c r="M93" t="str">
        <f>IF(Table1[[#This Row],[Age]]&lt;35,"Young People 0-35",IF(Table1[[#This Row],[Age]]&gt;54,"Senior Above 54","Middle Age 35-55"))</f>
        <v>Young People 0-35</v>
      </c>
      <c r="N93" t="s">
        <v>15</v>
      </c>
    </row>
    <row r="94" spans="1:14" x14ac:dyDescent="0.3">
      <c r="A94">
        <v>19562</v>
      </c>
      <c r="B94" t="s">
        <v>37</v>
      </c>
      <c r="C94" t="s">
        <v>38</v>
      </c>
      <c r="D94" s="3">
        <v>60000</v>
      </c>
      <c r="E94">
        <v>2</v>
      </c>
      <c r="F94" t="s">
        <v>13</v>
      </c>
      <c r="G94" t="s">
        <v>21</v>
      </c>
      <c r="H94" t="s">
        <v>15</v>
      </c>
      <c r="I94">
        <v>1</v>
      </c>
      <c r="J94" t="s">
        <v>22</v>
      </c>
      <c r="K94" t="s">
        <v>24</v>
      </c>
      <c r="L94">
        <v>37</v>
      </c>
      <c r="M94" t="str">
        <f>IF(Table1[[#This Row],[Age]]&lt;35,"Young People 0-35",IF(Table1[[#This Row],[Age]]&gt;54,"Senior Above 54","Middle Age 35-55"))</f>
        <v>Middle Age 35-55</v>
      </c>
      <c r="N94" t="s">
        <v>15</v>
      </c>
    </row>
    <row r="95" spans="1:14" x14ac:dyDescent="0.3">
      <c r="A95">
        <v>15608</v>
      </c>
      <c r="B95" t="s">
        <v>37</v>
      </c>
      <c r="C95" t="s">
        <v>38</v>
      </c>
      <c r="D95" s="3">
        <v>30000</v>
      </c>
      <c r="E95">
        <v>0</v>
      </c>
      <c r="F95" t="s">
        <v>19</v>
      </c>
      <c r="G95" t="s">
        <v>20</v>
      </c>
      <c r="H95" t="s">
        <v>18</v>
      </c>
      <c r="I95">
        <v>1</v>
      </c>
      <c r="J95" t="s">
        <v>22</v>
      </c>
      <c r="K95" t="s">
        <v>17</v>
      </c>
      <c r="L95">
        <v>33</v>
      </c>
      <c r="M95" t="str">
        <f>IF(Table1[[#This Row],[Age]]&lt;35,"Young People 0-35",IF(Table1[[#This Row],[Age]]&gt;54,"Senior Above 54","Middle Age 35-55"))</f>
        <v>Young People 0-35</v>
      </c>
      <c r="N95" t="s">
        <v>18</v>
      </c>
    </row>
    <row r="96" spans="1:14" x14ac:dyDescent="0.3">
      <c r="A96">
        <v>16487</v>
      </c>
      <c r="B96" t="s">
        <v>37</v>
      </c>
      <c r="C96" t="s">
        <v>38</v>
      </c>
      <c r="D96" s="3">
        <v>30000</v>
      </c>
      <c r="E96">
        <v>3</v>
      </c>
      <c r="F96" t="s">
        <v>27</v>
      </c>
      <c r="G96" t="s">
        <v>14</v>
      </c>
      <c r="H96" t="s">
        <v>15</v>
      </c>
      <c r="I96">
        <v>2</v>
      </c>
      <c r="J96" t="s">
        <v>23</v>
      </c>
      <c r="K96" t="s">
        <v>24</v>
      </c>
      <c r="L96">
        <v>55</v>
      </c>
      <c r="M96" t="str">
        <f>IF(Table1[[#This Row],[Age]]&lt;35,"Young People 0-35",IF(Table1[[#This Row],[Age]]&gt;54,"Senior Above 54","Middle Age 35-55"))</f>
        <v>Senior Above 54</v>
      </c>
      <c r="N96" t="s">
        <v>18</v>
      </c>
    </row>
    <row r="97" spans="1:14" x14ac:dyDescent="0.3">
      <c r="A97">
        <v>17197</v>
      </c>
      <c r="B97" t="s">
        <v>37</v>
      </c>
      <c r="C97" t="s">
        <v>38</v>
      </c>
      <c r="D97" s="3">
        <v>90000</v>
      </c>
      <c r="E97">
        <v>5</v>
      </c>
      <c r="F97" t="s">
        <v>19</v>
      </c>
      <c r="G97" t="s">
        <v>21</v>
      </c>
      <c r="H97" t="s">
        <v>15</v>
      </c>
      <c r="I97">
        <v>2</v>
      </c>
      <c r="J97" t="s">
        <v>46</v>
      </c>
      <c r="K97" t="s">
        <v>17</v>
      </c>
      <c r="L97">
        <v>62</v>
      </c>
      <c r="M97" t="str">
        <f>IF(Table1[[#This Row],[Age]]&lt;35,"Young People 0-35",IF(Table1[[#This Row],[Age]]&gt;54,"Senior Above 54","Middle Age 35-55"))</f>
        <v>Senior Above 54</v>
      </c>
      <c r="N97" t="s">
        <v>18</v>
      </c>
    </row>
    <row r="98" spans="1:14" x14ac:dyDescent="0.3">
      <c r="A98">
        <v>12507</v>
      </c>
      <c r="B98" t="s">
        <v>36</v>
      </c>
      <c r="C98" t="s">
        <v>39</v>
      </c>
      <c r="D98" s="3">
        <v>30000</v>
      </c>
      <c r="E98">
        <v>1</v>
      </c>
      <c r="F98" t="s">
        <v>19</v>
      </c>
      <c r="G98" t="s">
        <v>20</v>
      </c>
      <c r="H98" t="s">
        <v>15</v>
      </c>
      <c r="I98">
        <v>1</v>
      </c>
      <c r="J98" t="s">
        <v>16</v>
      </c>
      <c r="K98" t="s">
        <v>17</v>
      </c>
      <c r="L98">
        <v>43</v>
      </c>
      <c r="M98" t="str">
        <f>IF(Table1[[#This Row],[Age]]&lt;35,"Young People 0-35",IF(Table1[[#This Row],[Age]]&gt;54,"Senior Above 54","Middle Age 35-55"))</f>
        <v>Middle Age 35-55</v>
      </c>
      <c r="N98" t="s">
        <v>18</v>
      </c>
    </row>
    <row r="99" spans="1:14" x14ac:dyDescent="0.3">
      <c r="A99">
        <v>23940</v>
      </c>
      <c r="B99" t="s">
        <v>36</v>
      </c>
      <c r="C99" t="s">
        <v>39</v>
      </c>
      <c r="D99" s="3">
        <v>40000</v>
      </c>
      <c r="E99">
        <v>1</v>
      </c>
      <c r="F99" t="s">
        <v>13</v>
      </c>
      <c r="G99" t="s">
        <v>14</v>
      </c>
      <c r="H99" t="s">
        <v>15</v>
      </c>
      <c r="I99">
        <v>1</v>
      </c>
      <c r="J99" t="s">
        <v>16</v>
      </c>
      <c r="K99" t="s">
        <v>17</v>
      </c>
      <c r="L99">
        <v>44</v>
      </c>
      <c r="M99" t="str">
        <f>IF(Table1[[#This Row],[Age]]&lt;35,"Young People 0-35",IF(Table1[[#This Row],[Age]]&gt;54,"Senior Above 54","Middle Age 35-55"))</f>
        <v>Middle Age 35-55</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IF(Table1[[#This Row],[Age]]&lt;35,"Young People 0-35",IF(Table1[[#This Row],[Age]]&gt;54,"Senior Above 54","Middle Age 35-55"))</f>
        <v>Young People 0-35</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IF(Table1[[#This Row],[Age]]&lt;35,"Young People 0-35",IF(Table1[[#This Row],[Age]]&gt;54,"Senior Above 54","Middle Age 35-55"))</f>
        <v>Middle Age 35-55</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IF(Table1[[#This Row],[Age]]&lt;35,"Young People 0-35",IF(Table1[[#This Row],[Age]]&gt;54,"Senior Above 54","Middle Age 35-55"))</f>
        <v>Middle Age 35-55</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IF(Table1[[#This Row],[Age]]&lt;35,"Young People 0-35",IF(Table1[[#This Row],[Age]]&gt;54,"Senior Above 54","Middle Age 35-55"))</f>
        <v>Middle Age 35-55</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IF(Table1[[#This Row],[Age]]&lt;35,"Young People 0-35",IF(Table1[[#This Row],[Age]]&gt;54,"Senior Above 54","Middle Age 35-55"))</f>
        <v>Middle Age 35-55</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IF(Table1[[#This Row],[Age]]&lt;35,"Young People 0-35",IF(Table1[[#This Row],[Age]]&gt;54,"Senior Above 54","Middle Age 35-55"))</f>
        <v>Middle Age 35-55</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IF(Table1[[#This Row],[Age]]&lt;35,"Young People 0-35",IF(Table1[[#This Row],[Age]]&gt;54,"Senior Above 54","Middle Age 35-55"))</f>
        <v>Middle Age 35-55</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IF(Table1[[#This Row],[Age]]&lt;35,"Young People 0-35",IF(Table1[[#This Row],[Age]]&gt;54,"Senior Above 54","Middle Age 35-55"))</f>
        <v>Young People 0-35</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IF(Table1[[#This Row],[Age]]&lt;35,"Young People 0-35",IF(Table1[[#This Row],[Age]]&gt;54,"Senior Above 54","Middle Age 35-55"))</f>
        <v>Middle Age 35-55</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IF(Table1[[#This Row],[Age]]&lt;35,"Young People 0-35",IF(Table1[[#This Row],[Age]]&gt;54,"Senior Above 54","Middle Age 35-55"))</f>
        <v>Middle Age 35-55</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IF(Table1[[#This Row],[Age]]&lt;35,"Young People 0-35",IF(Table1[[#This Row],[Age]]&gt;54,"Senior Above 54","Middle Age 35-55"))</f>
        <v>Middle Age 35-55</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IF(Table1[[#This Row],[Age]]&lt;35,"Young People 0-35",IF(Table1[[#This Row],[Age]]&gt;54,"Senior Above 54","Middle Age 35-55"))</f>
        <v>Middle Age 35-55</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IF(Table1[[#This Row],[Age]]&lt;35,"Young People 0-35",IF(Table1[[#This Row],[Age]]&gt;54,"Senior Above 54","Middle Age 35-55"))</f>
        <v>Middle Age 35-55</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IF(Table1[[#This Row],[Age]]&lt;35,"Young People 0-35",IF(Table1[[#This Row],[Age]]&gt;54,"Senior Above 54","Middle Age 35-55"))</f>
        <v>Middle Age 35-55</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IF(Table1[[#This Row],[Age]]&lt;35,"Young People 0-35",IF(Table1[[#This Row],[Age]]&gt;54,"Senior Above 54","Middle Age 35-55"))</f>
        <v>Middle Age 35-55</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IF(Table1[[#This Row],[Age]]&lt;35,"Young People 0-35",IF(Table1[[#This Row],[Age]]&gt;54,"Senior Above 54","Middle Age 35-55"))</f>
        <v>Middle Age 35-55</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IF(Table1[[#This Row],[Age]]&lt;35,"Young People 0-35",IF(Table1[[#This Row],[Age]]&gt;54,"Senior Above 54","Middle Age 35-55"))</f>
        <v>Young People 0-35</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IF(Table1[[#This Row],[Age]]&lt;35,"Young People 0-35",IF(Table1[[#This Row],[Age]]&gt;54,"Senior Above 54","Middle Age 35-55"))</f>
        <v>Young People 0-35</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IF(Table1[[#This Row],[Age]]&lt;35,"Young People 0-35",IF(Table1[[#This Row],[Age]]&gt;54,"Senior Above 54","Middle Age 35-55"))</f>
        <v>Middle Age 35-55</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IF(Table1[[#This Row],[Age]]&lt;35,"Young People 0-35",IF(Table1[[#This Row],[Age]]&gt;54,"Senior Above 54","Middle Age 35-55"))</f>
        <v>Middle Age 35-55</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IF(Table1[[#This Row],[Age]]&lt;35,"Young People 0-35",IF(Table1[[#This Row],[Age]]&gt;54,"Senior Above 54","Middle Age 35-55"))</f>
        <v>Senior Above 54</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IF(Table1[[#This Row],[Age]]&lt;35,"Young People 0-35",IF(Table1[[#This Row],[Age]]&gt;54,"Senior Above 54","Middle Age 35-55"))</f>
        <v>Young People 0-35</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IF(Table1[[#This Row],[Age]]&lt;35,"Young People 0-35",IF(Table1[[#This Row],[Age]]&gt;54,"Senior Above 54","Middle Age 35-55"))</f>
        <v>Senior Above 54</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IF(Table1[[#This Row],[Age]]&lt;35,"Young People 0-35",IF(Table1[[#This Row],[Age]]&gt;54,"Senior Above 54","Middle Age 35-55"))</f>
        <v>Middle Age 35-55</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IF(Table1[[#This Row],[Age]]&lt;35,"Young People 0-35",IF(Table1[[#This Row],[Age]]&gt;54,"Senior Above 54","Middle Age 35-55"))</f>
        <v>Young People 0-35</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IF(Table1[[#This Row],[Age]]&lt;35,"Young People 0-35",IF(Table1[[#This Row],[Age]]&gt;54,"Senior Above 54","Middle Age 35-55"))</f>
        <v>Senior Above 54</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IF(Table1[[#This Row],[Age]]&lt;35,"Young People 0-35",IF(Table1[[#This Row],[Age]]&gt;54,"Senior Above 54","Middle Age 35-55"))</f>
        <v>Middle Age 35-55</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IF(Table1[[#This Row],[Age]]&lt;35,"Young People 0-35",IF(Table1[[#This Row],[Age]]&gt;54,"Senior Above 54","Middle Age 35-55"))</f>
        <v>Middle Age 35-55</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IF(Table1[[#This Row],[Age]]&lt;35,"Young People 0-35",IF(Table1[[#This Row],[Age]]&gt;54,"Senior Above 54","Middle Age 35-55"))</f>
        <v>Young People 0-35</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IF(Table1[[#This Row],[Age]]&lt;35,"Young People 0-35",IF(Table1[[#This Row],[Age]]&gt;54,"Senior Above 54","Middle Age 35-55"))</f>
        <v>Middle Age 35-55</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IF(Table1[[#This Row],[Age]]&lt;35,"Young People 0-35",IF(Table1[[#This Row],[Age]]&gt;54,"Senior Above 54","Middle Age 35-55"))</f>
        <v>Middle Age 35-55</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IF(Table1[[#This Row],[Age]]&lt;35,"Young People 0-35",IF(Table1[[#This Row],[Age]]&gt;54,"Senior Above 54","Middle Age 35-55"))</f>
        <v>Middle Age 35-55</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IF(Table1[[#This Row],[Age]]&lt;35,"Young People 0-35",IF(Table1[[#This Row],[Age]]&gt;54,"Senior Above 54","Middle Age 35-55"))</f>
        <v>Middle Age 35-55</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IF(Table1[[#This Row],[Age]]&lt;35,"Young People 0-35",IF(Table1[[#This Row],[Age]]&gt;54,"Senior Above 54","Middle Age 35-55"))</f>
        <v>Senior Above 54</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IF(Table1[[#This Row],[Age]]&lt;35,"Young People 0-35",IF(Table1[[#This Row],[Age]]&gt;54,"Senior Above 54","Middle Age 35-55"))</f>
        <v>Middle Age 35-55</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IF(Table1[[#This Row],[Age]]&lt;35,"Young People 0-35",IF(Table1[[#This Row],[Age]]&gt;54,"Senior Above 54","Middle Age 35-55"))</f>
        <v>Senior Above 54</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IF(Table1[[#This Row],[Age]]&lt;35,"Young People 0-35",IF(Table1[[#This Row],[Age]]&gt;54,"Senior Above 54","Middle Age 35-55"))</f>
        <v>Middle Age 35-55</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IF(Table1[[#This Row],[Age]]&lt;35,"Young People 0-35",IF(Table1[[#This Row],[Age]]&gt;54,"Senior Above 54","Middle Age 35-55"))</f>
        <v>Middle Age 35-55</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IF(Table1[[#This Row],[Age]]&lt;35,"Young People 0-35",IF(Table1[[#This Row],[Age]]&gt;54,"Senior Above 54","Middle Age 35-55"))</f>
        <v>Middle Age 35-55</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IF(Table1[[#This Row],[Age]]&lt;35,"Young People 0-35",IF(Table1[[#This Row],[Age]]&gt;54,"Senior Above 54","Middle Age 35-55"))</f>
        <v>Middle Age 35-55</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IF(Table1[[#This Row],[Age]]&lt;35,"Young People 0-35",IF(Table1[[#This Row],[Age]]&gt;54,"Senior Above 54","Middle Age 35-55"))</f>
        <v>Senior Above 54</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IF(Table1[[#This Row],[Age]]&lt;35,"Young People 0-35",IF(Table1[[#This Row],[Age]]&gt;54,"Senior Above 54","Middle Age 35-55"))</f>
        <v>Senior Above 54</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IF(Table1[[#This Row],[Age]]&lt;35,"Young People 0-35",IF(Table1[[#This Row],[Age]]&gt;54,"Senior Above 54","Middle Age 35-55"))</f>
        <v>Middle Age 35-55</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IF(Table1[[#This Row],[Age]]&lt;35,"Young People 0-35",IF(Table1[[#This Row],[Age]]&gt;54,"Senior Above 54","Middle Age 35-55"))</f>
        <v>Young People 0-35</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IF(Table1[[#This Row],[Age]]&lt;35,"Young People 0-35",IF(Table1[[#This Row],[Age]]&gt;54,"Senior Above 54","Middle Age 35-55"))</f>
        <v>Middle Age 35-55</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IF(Table1[[#This Row],[Age]]&lt;35,"Young People 0-35",IF(Table1[[#This Row],[Age]]&gt;54,"Senior Above 54","Middle Age 35-55"))</f>
        <v>Young People 0-35</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IF(Table1[[#This Row],[Age]]&lt;35,"Young People 0-35",IF(Table1[[#This Row],[Age]]&gt;54,"Senior Above 54","Middle Age 35-55"))</f>
        <v>Middle Age 35-55</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IF(Table1[[#This Row],[Age]]&lt;35,"Young People 0-35",IF(Table1[[#This Row],[Age]]&gt;54,"Senior Above 54","Middle Age 35-55"))</f>
        <v>Young People 0-35</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IF(Table1[[#This Row],[Age]]&lt;35,"Young People 0-35",IF(Table1[[#This Row],[Age]]&gt;54,"Senior Above 54","Middle Age 35-55"))</f>
        <v>Middle Age 35-55</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IF(Table1[[#This Row],[Age]]&lt;35,"Young People 0-35",IF(Table1[[#This Row],[Age]]&gt;54,"Senior Above 54","Middle Age 35-55"))</f>
        <v>Middle Age 35-55</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IF(Table1[[#This Row],[Age]]&lt;35,"Young People 0-35",IF(Table1[[#This Row],[Age]]&gt;54,"Senior Above 54","Middle Age 35-55"))</f>
        <v>Senior Above 54</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IF(Table1[[#This Row],[Age]]&lt;35,"Young People 0-35",IF(Table1[[#This Row],[Age]]&gt;54,"Senior Above 54","Middle Age 35-55"))</f>
        <v>Young People 0-35</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IF(Table1[[#This Row],[Age]]&lt;35,"Young People 0-35",IF(Table1[[#This Row],[Age]]&gt;54,"Senior Above 54","Middle Age 35-55"))</f>
        <v>Middle Age 35-55</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IF(Table1[[#This Row],[Age]]&lt;35,"Young People 0-35",IF(Table1[[#This Row],[Age]]&gt;54,"Senior Above 54","Middle Age 35-55"))</f>
        <v>Middle Age 35-55</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IF(Table1[[#This Row],[Age]]&lt;35,"Young People 0-35",IF(Table1[[#This Row],[Age]]&gt;54,"Senior Above 54","Middle Age 35-55"))</f>
        <v>Young People 0-35</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IF(Table1[[#This Row],[Age]]&lt;35,"Young People 0-35",IF(Table1[[#This Row],[Age]]&gt;54,"Senior Above 54","Middle Age 35-55"))</f>
        <v>Middle Age 35-55</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IF(Table1[[#This Row],[Age]]&lt;35,"Young People 0-35",IF(Table1[[#This Row],[Age]]&gt;54,"Senior Above 54","Middle Age 35-55"))</f>
        <v>Middle Age 35-55</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IF(Table1[[#This Row],[Age]]&lt;35,"Young People 0-35",IF(Table1[[#This Row],[Age]]&gt;54,"Senior Above 54","Middle Age 35-55"))</f>
        <v>Middle Age 35-55</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IF(Table1[[#This Row],[Age]]&lt;35,"Young People 0-35",IF(Table1[[#This Row],[Age]]&gt;54,"Senior Above 54","Middle Age 35-55"))</f>
        <v>Senior Above 54</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IF(Table1[[#This Row],[Age]]&lt;35,"Young People 0-35",IF(Table1[[#This Row],[Age]]&gt;54,"Senior Above 54","Middle Age 35-55"))</f>
        <v>Middle Age 35-55</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IF(Table1[[#This Row],[Age]]&lt;35,"Young People 0-35",IF(Table1[[#This Row],[Age]]&gt;54,"Senior Above 54","Middle Age 35-55"))</f>
        <v>Middle Age 35-55</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IF(Table1[[#This Row],[Age]]&lt;35,"Young People 0-35",IF(Table1[[#This Row],[Age]]&gt;54,"Senior Above 54","Middle Age 35-55"))</f>
        <v>Middle Age 35-55</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IF(Table1[[#This Row],[Age]]&lt;35,"Young People 0-35",IF(Table1[[#This Row],[Age]]&gt;54,"Senior Above 54","Middle Age 35-55"))</f>
        <v>Middle Age 35-55</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IF(Table1[[#This Row],[Age]]&lt;35,"Young People 0-35",IF(Table1[[#This Row],[Age]]&gt;54,"Senior Above 54","Middle Age 35-55"))</f>
        <v>Middle Age 35-55</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IF(Table1[[#This Row],[Age]]&lt;35,"Young People 0-35",IF(Table1[[#This Row],[Age]]&gt;54,"Senior Above 54","Middle Age 35-55"))</f>
        <v>Middle Age 35-55</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IF(Table1[[#This Row],[Age]]&lt;35,"Young People 0-35",IF(Table1[[#This Row],[Age]]&gt;54,"Senior Above 54","Middle Age 35-55"))</f>
        <v>Middle Age 35-55</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IF(Table1[[#This Row],[Age]]&lt;35,"Young People 0-35",IF(Table1[[#This Row],[Age]]&gt;54,"Senior Above 54","Middle Age 35-55"))</f>
        <v>Young People 0-35</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IF(Table1[[#This Row],[Age]]&lt;35,"Young People 0-35",IF(Table1[[#This Row],[Age]]&gt;54,"Senior Above 54","Middle Age 35-55"))</f>
        <v>Young People 0-35</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IF(Table1[[#This Row],[Age]]&lt;35,"Young People 0-35",IF(Table1[[#This Row],[Age]]&gt;54,"Senior Above 54","Middle Age 35-55"))</f>
        <v>Middle Age 35-55</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IF(Table1[[#This Row],[Age]]&lt;35,"Young People 0-35",IF(Table1[[#This Row],[Age]]&gt;54,"Senior Above 54","Middle Age 35-55"))</f>
        <v>Middle Age 35-55</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IF(Table1[[#This Row],[Age]]&lt;35,"Young People 0-35",IF(Table1[[#This Row],[Age]]&gt;54,"Senior Above 54","Middle Age 35-55"))</f>
        <v>Middle Age 35-55</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IF(Table1[[#This Row],[Age]]&lt;35,"Young People 0-35",IF(Table1[[#This Row],[Age]]&gt;54,"Senior Above 54","Middle Age 35-55"))</f>
        <v>Middle Age 35-55</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IF(Table1[[#This Row],[Age]]&lt;35,"Young People 0-35",IF(Table1[[#This Row],[Age]]&gt;54,"Senior Above 54","Middle Age 35-55"))</f>
        <v>Senior Above 54</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IF(Table1[[#This Row],[Age]]&lt;35,"Young People 0-35",IF(Table1[[#This Row],[Age]]&gt;54,"Senior Above 54","Middle Age 35-55"))</f>
        <v>Senior Above 54</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IF(Table1[[#This Row],[Age]]&lt;35,"Young People 0-35",IF(Table1[[#This Row],[Age]]&gt;54,"Senior Above 54","Middle Age 35-55"))</f>
        <v>Young People 0-35</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IF(Table1[[#This Row],[Age]]&lt;35,"Young People 0-35",IF(Table1[[#This Row],[Age]]&gt;54,"Senior Above 54","Middle Age 35-55"))</f>
        <v>Young People 0-35</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IF(Table1[[#This Row],[Age]]&lt;35,"Young People 0-35",IF(Table1[[#This Row],[Age]]&gt;54,"Senior Above 54","Middle Age 35-55"))</f>
        <v>Middle Age 35-55</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IF(Table1[[#This Row],[Age]]&lt;35,"Young People 0-35",IF(Table1[[#This Row],[Age]]&gt;54,"Senior Above 54","Middle Age 35-55"))</f>
        <v>Middle Age 35-55</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IF(Table1[[#This Row],[Age]]&lt;35,"Young People 0-35",IF(Table1[[#This Row],[Age]]&gt;54,"Senior Above 54","Middle Age 35-55"))</f>
        <v>Young People 0-35</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IF(Table1[[#This Row],[Age]]&lt;35,"Young People 0-35",IF(Table1[[#This Row],[Age]]&gt;54,"Senior Above 54","Middle Age 35-55"))</f>
        <v>Middle Age 35-55</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IF(Table1[[#This Row],[Age]]&lt;35,"Young People 0-35",IF(Table1[[#This Row],[Age]]&gt;54,"Senior Above 54","Middle Age 35-55"))</f>
        <v>Senior Above 54</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IF(Table1[[#This Row],[Age]]&lt;35,"Young People 0-35",IF(Table1[[#This Row],[Age]]&gt;54,"Senior Above 54","Middle Age 35-55"))</f>
        <v>Middle Age 35-55</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IF(Table1[[#This Row],[Age]]&lt;35,"Young People 0-35",IF(Table1[[#This Row],[Age]]&gt;54,"Senior Above 54","Middle Age 35-55"))</f>
        <v>Middle Age 35-55</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IF(Table1[[#This Row],[Age]]&lt;35,"Young People 0-35",IF(Table1[[#This Row],[Age]]&gt;54,"Senior Above 54","Middle Age 35-55"))</f>
        <v>Senior Above 54</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IF(Table1[[#This Row],[Age]]&lt;35,"Young People 0-35",IF(Table1[[#This Row],[Age]]&gt;54,"Senior Above 54","Middle Age 35-55"))</f>
        <v>Middle Age 35-55</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IF(Table1[[#This Row],[Age]]&lt;35,"Young People 0-35",IF(Table1[[#This Row],[Age]]&gt;54,"Senior Above 54","Middle Age 35-55"))</f>
        <v>Senior Above 54</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IF(Table1[[#This Row],[Age]]&lt;35,"Young People 0-35",IF(Table1[[#This Row],[Age]]&gt;54,"Senior Above 54","Middle Age 35-55"))</f>
        <v>Senior Above 54</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IF(Table1[[#This Row],[Age]]&lt;35,"Young People 0-35",IF(Table1[[#This Row],[Age]]&gt;54,"Senior Above 54","Middle Age 35-55"))</f>
        <v>Middle Age 35-55</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IF(Table1[[#This Row],[Age]]&lt;35,"Young People 0-35",IF(Table1[[#This Row],[Age]]&gt;54,"Senior Above 54","Middle Age 35-55"))</f>
        <v>Senior Above 54</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IF(Table1[[#This Row],[Age]]&lt;35,"Young People 0-35",IF(Table1[[#This Row],[Age]]&gt;54,"Senior Above 54","Middle Age 35-55"))</f>
        <v>Senior Above 54</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IF(Table1[[#This Row],[Age]]&lt;35,"Young People 0-35",IF(Table1[[#This Row],[Age]]&gt;54,"Senior Above 54","Middle Age 35-55"))</f>
        <v>Young People 0-35</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IF(Table1[[#This Row],[Age]]&lt;35,"Young People 0-35",IF(Table1[[#This Row],[Age]]&gt;54,"Senior Above 54","Middle Age 35-55"))</f>
        <v>Middle Age 35-55</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IF(Table1[[#This Row],[Age]]&lt;35,"Young People 0-35",IF(Table1[[#This Row],[Age]]&gt;54,"Senior Above 54","Middle Age 35-55"))</f>
        <v>Senior Above 54</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IF(Table1[[#This Row],[Age]]&lt;35,"Young People 0-35",IF(Table1[[#This Row],[Age]]&gt;54,"Senior Above 54","Middle Age 35-55"))</f>
        <v>Middle Age 35-55</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IF(Table1[[#This Row],[Age]]&lt;35,"Young People 0-35",IF(Table1[[#This Row],[Age]]&gt;54,"Senior Above 54","Middle Age 35-55"))</f>
        <v>Senior Above 54</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IF(Table1[[#This Row],[Age]]&lt;35,"Young People 0-35",IF(Table1[[#This Row],[Age]]&gt;54,"Senior Above 54","Middle Age 35-55"))</f>
        <v>Middle Age 35-55</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IF(Table1[[#This Row],[Age]]&lt;35,"Young People 0-35",IF(Table1[[#This Row],[Age]]&gt;54,"Senior Above 54","Middle Age 35-55"))</f>
        <v>Young People 0-35</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IF(Table1[[#This Row],[Age]]&lt;35,"Young People 0-35",IF(Table1[[#This Row],[Age]]&gt;54,"Senior Above 54","Middle Age 35-55"))</f>
        <v>Young People 0-35</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IF(Table1[[#This Row],[Age]]&lt;35,"Young People 0-35",IF(Table1[[#This Row],[Age]]&gt;54,"Senior Above 54","Middle Age 35-55"))</f>
        <v>Middle Age 35-55</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IF(Table1[[#This Row],[Age]]&lt;35,"Young People 0-35",IF(Table1[[#This Row],[Age]]&gt;54,"Senior Above 54","Middle Age 35-55"))</f>
        <v>Senior Above 54</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IF(Table1[[#This Row],[Age]]&lt;35,"Young People 0-35",IF(Table1[[#This Row],[Age]]&gt;54,"Senior Above 54","Middle Age 35-55"))</f>
        <v>Middle Age 35-55</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IF(Table1[[#This Row],[Age]]&lt;35,"Young People 0-35",IF(Table1[[#This Row],[Age]]&gt;54,"Senior Above 54","Middle Age 35-55"))</f>
        <v>Young People 0-35</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IF(Table1[[#This Row],[Age]]&lt;35,"Young People 0-35",IF(Table1[[#This Row],[Age]]&gt;54,"Senior Above 54","Middle Age 35-55"))</f>
        <v>Young People 0-35</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IF(Table1[[#This Row],[Age]]&lt;35,"Young People 0-35",IF(Table1[[#This Row],[Age]]&gt;54,"Senior Above 54","Middle Age 35-55"))</f>
        <v>Young People 0-35</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IF(Table1[[#This Row],[Age]]&lt;35,"Young People 0-35",IF(Table1[[#This Row],[Age]]&gt;54,"Senior Above 54","Middle Age 35-55"))</f>
        <v>Young People 0-35</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IF(Table1[[#This Row],[Age]]&lt;35,"Young People 0-35",IF(Table1[[#This Row],[Age]]&gt;54,"Senior Above 54","Middle Age 35-55"))</f>
        <v>Middle Age 35-55</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IF(Table1[[#This Row],[Age]]&lt;35,"Young People 0-35",IF(Table1[[#This Row],[Age]]&gt;54,"Senior Above 54","Middle Age 35-55"))</f>
        <v>Middle Age 35-55</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IF(Table1[[#This Row],[Age]]&lt;35,"Young People 0-35",IF(Table1[[#This Row],[Age]]&gt;54,"Senior Above 54","Middle Age 35-55"))</f>
        <v>Middle Age 35-55</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IF(Table1[[#This Row],[Age]]&lt;35,"Young People 0-35",IF(Table1[[#This Row],[Age]]&gt;54,"Senior Above 54","Middle Age 35-55"))</f>
        <v>Senior Above 54</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IF(Table1[[#This Row],[Age]]&lt;35,"Young People 0-35",IF(Table1[[#This Row],[Age]]&gt;54,"Senior Above 54","Middle Age 35-55"))</f>
        <v>Young People 0-35</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IF(Table1[[#This Row],[Age]]&lt;35,"Young People 0-35",IF(Table1[[#This Row],[Age]]&gt;54,"Senior Above 54","Middle Age 35-55"))</f>
        <v>Middle Age 35-55</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IF(Table1[[#This Row],[Age]]&lt;35,"Young People 0-35",IF(Table1[[#This Row],[Age]]&gt;54,"Senior Above 54","Middle Age 35-55"))</f>
        <v>Middle Age 35-55</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IF(Table1[[#This Row],[Age]]&lt;35,"Young People 0-35",IF(Table1[[#This Row],[Age]]&gt;54,"Senior Above 54","Middle Age 35-55"))</f>
        <v>Middle Age 35-55</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IF(Table1[[#This Row],[Age]]&lt;35,"Young People 0-35",IF(Table1[[#This Row],[Age]]&gt;54,"Senior Above 54","Middle Age 35-55"))</f>
        <v>Middle Age 35-55</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IF(Table1[[#This Row],[Age]]&lt;35,"Young People 0-35",IF(Table1[[#This Row],[Age]]&gt;54,"Senior Above 54","Middle Age 35-55"))</f>
        <v>Young People 0-35</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IF(Table1[[#This Row],[Age]]&lt;35,"Young People 0-35",IF(Table1[[#This Row],[Age]]&gt;54,"Senior Above 54","Middle Age 35-55"))</f>
        <v>Young People 0-35</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IF(Table1[[#This Row],[Age]]&lt;35,"Young People 0-35",IF(Table1[[#This Row],[Age]]&gt;54,"Senior Above 54","Middle Age 35-55"))</f>
        <v>Senior Above 54</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IF(Table1[[#This Row],[Age]]&lt;35,"Young People 0-35",IF(Table1[[#This Row],[Age]]&gt;54,"Senior Above 54","Middle Age 35-55"))</f>
        <v>Middle Age 35-55</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IF(Table1[[#This Row],[Age]]&lt;35,"Young People 0-35",IF(Table1[[#This Row],[Age]]&gt;54,"Senior Above 54","Middle Age 35-55"))</f>
        <v>Middle Age 35-55</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IF(Table1[[#This Row],[Age]]&lt;35,"Young People 0-35",IF(Table1[[#This Row],[Age]]&gt;54,"Senior Above 54","Middle Age 35-55"))</f>
        <v>Young People 0-35</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IF(Table1[[#This Row],[Age]]&lt;35,"Young People 0-35",IF(Table1[[#This Row],[Age]]&gt;54,"Senior Above 54","Middle Age 35-55"))</f>
        <v>Middle Age 35-55</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IF(Table1[[#This Row],[Age]]&lt;35,"Young People 0-35",IF(Table1[[#This Row],[Age]]&gt;54,"Senior Above 54","Middle Age 35-55"))</f>
        <v>Young People 0-35</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IF(Table1[[#This Row],[Age]]&lt;35,"Young People 0-35",IF(Table1[[#This Row],[Age]]&gt;54,"Senior Above 54","Middle Age 35-55"))</f>
        <v>Middle Age 35-55</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IF(Table1[[#This Row],[Age]]&lt;35,"Young People 0-35",IF(Table1[[#This Row],[Age]]&gt;54,"Senior Above 54","Middle Age 35-55"))</f>
        <v>Middle Age 35-55</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IF(Table1[[#This Row],[Age]]&lt;35,"Young People 0-35",IF(Table1[[#This Row],[Age]]&gt;54,"Senior Above 54","Middle Age 35-55"))</f>
        <v>Middle Age 35-55</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IF(Table1[[#This Row],[Age]]&lt;35,"Young People 0-35",IF(Table1[[#This Row],[Age]]&gt;54,"Senior Above 54","Middle Age 35-55"))</f>
        <v>Middle Age 35-55</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IF(Table1[[#This Row],[Age]]&lt;35,"Young People 0-35",IF(Table1[[#This Row],[Age]]&gt;54,"Senior Above 54","Middle Age 35-55"))</f>
        <v>Senior Above 54</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IF(Table1[[#This Row],[Age]]&lt;35,"Young People 0-35",IF(Table1[[#This Row],[Age]]&gt;54,"Senior Above 54","Middle Age 35-55"))</f>
        <v>Middle Age 35-55</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IF(Table1[[#This Row],[Age]]&lt;35,"Young People 0-35",IF(Table1[[#This Row],[Age]]&gt;54,"Senior Above 54","Middle Age 35-55"))</f>
        <v>Middle Age 35-55</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IF(Table1[[#This Row],[Age]]&lt;35,"Young People 0-35",IF(Table1[[#This Row],[Age]]&gt;54,"Senior Above 54","Middle Age 35-55"))</f>
        <v>Middle Age 35-55</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IF(Table1[[#This Row],[Age]]&lt;35,"Young People 0-35",IF(Table1[[#This Row],[Age]]&gt;54,"Senior Above 54","Middle Age 35-55"))</f>
        <v>Middle Age 35-55</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IF(Table1[[#This Row],[Age]]&lt;35,"Young People 0-35",IF(Table1[[#This Row],[Age]]&gt;54,"Senior Above 54","Middle Age 35-55"))</f>
        <v>Senior Above 54</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IF(Table1[[#This Row],[Age]]&lt;35,"Young People 0-35",IF(Table1[[#This Row],[Age]]&gt;54,"Senior Above 54","Middle Age 35-55"))</f>
        <v>Senior Above 54</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IF(Table1[[#This Row],[Age]]&lt;35,"Young People 0-35",IF(Table1[[#This Row],[Age]]&gt;54,"Senior Above 54","Middle Age 35-55"))</f>
        <v>Middle Age 35-55</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IF(Table1[[#This Row],[Age]]&lt;35,"Young People 0-35",IF(Table1[[#This Row],[Age]]&gt;54,"Senior Above 54","Middle Age 35-55"))</f>
        <v>Middle Age 35-55</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IF(Table1[[#This Row],[Age]]&lt;35,"Young People 0-35",IF(Table1[[#This Row],[Age]]&gt;54,"Senior Above 54","Middle Age 35-55"))</f>
        <v>Young People 0-35</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IF(Table1[[#This Row],[Age]]&lt;35,"Young People 0-35",IF(Table1[[#This Row],[Age]]&gt;54,"Senior Above 54","Middle Age 35-55"))</f>
        <v>Middle Age 35-55</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IF(Table1[[#This Row],[Age]]&lt;35,"Young People 0-35",IF(Table1[[#This Row],[Age]]&gt;54,"Senior Above 54","Middle Age 35-55"))</f>
        <v>Senior Above 54</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IF(Table1[[#This Row],[Age]]&lt;35,"Young People 0-35",IF(Table1[[#This Row],[Age]]&gt;54,"Senior Above 54","Middle Age 35-55"))</f>
        <v>Middle Age 35-55</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IF(Table1[[#This Row],[Age]]&lt;35,"Young People 0-35",IF(Table1[[#This Row],[Age]]&gt;54,"Senior Above 54","Middle Age 35-55"))</f>
        <v>Young People 0-35</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IF(Table1[[#This Row],[Age]]&lt;35,"Young People 0-35",IF(Table1[[#This Row],[Age]]&gt;54,"Senior Above 54","Middle Age 35-55"))</f>
        <v>Middle Age 35-55</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IF(Table1[[#This Row],[Age]]&lt;35,"Young People 0-35",IF(Table1[[#This Row],[Age]]&gt;54,"Senior Above 54","Middle Age 35-55"))</f>
        <v>Young People 0-35</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IF(Table1[[#This Row],[Age]]&lt;35,"Young People 0-35",IF(Table1[[#This Row],[Age]]&gt;54,"Senior Above 54","Middle Age 35-55"))</f>
        <v>Middle Age 35-55</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IF(Table1[[#This Row],[Age]]&lt;35,"Young People 0-35",IF(Table1[[#This Row],[Age]]&gt;54,"Senior Above 54","Middle Age 35-55"))</f>
        <v>Young People 0-35</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IF(Table1[[#This Row],[Age]]&lt;35,"Young People 0-35",IF(Table1[[#This Row],[Age]]&gt;54,"Senior Above 54","Middle Age 35-55"))</f>
        <v>Middle Age 35-55</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IF(Table1[[#This Row],[Age]]&lt;35,"Young People 0-35",IF(Table1[[#This Row],[Age]]&gt;54,"Senior Above 54","Middle Age 35-55"))</f>
        <v>Young People 0-35</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IF(Table1[[#This Row],[Age]]&lt;35,"Young People 0-35",IF(Table1[[#This Row],[Age]]&gt;54,"Senior Above 54","Middle Age 35-55"))</f>
        <v>Middle Age 35-55</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IF(Table1[[#This Row],[Age]]&lt;35,"Young People 0-35",IF(Table1[[#This Row],[Age]]&gt;54,"Senior Above 54","Middle Age 35-55"))</f>
        <v>Middle Age 35-55</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IF(Table1[[#This Row],[Age]]&lt;35,"Young People 0-35",IF(Table1[[#This Row],[Age]]&gt;54,"Senior Above 54","Middle Age 35-55"))</f>
        <v>Middle Age 35-55</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IF(Table1[[#This Row],[Age]]&lt;35,"Young People 0-35",IF(Table1[[#This Row],[Age]]&gt;54,"Senior Above 54","Middle Age 35-55"))</f>
        <v>Young People 0-35</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IF(Table1[[#This Row],[Age]]&lt;35,"Young People 0-35",IF(Table1[[#This Row],[Age]]&gt;54,"Senior Above 54","Middle Age 35-55"))</f>
        <v>Senior Above 54</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IF(Table1[[#This Row],[Age]]&lt;35,"Young People 0-35",IF(Table1[[#This Row],[Age]]&gt;54,"Senior Above 54","Middle Age 35-55"))</f>
        <v>Middle Age 35-55</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IF(Table1[[#This Row],[Age]]&lt;35,"Young People 0-35",IF(Table1[[#This Row],[Age]]&gt;54,"Senior Above 54","Middle Age 35-55"))</f>
        <v>Senior Above 54</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IF(Table1[[#This Row],[Age]]&lt;35,"Young People 0-35",IF(Table1[[#This Row],[Age]]&gt;54,"Senior Above 54","Middle Age 35-55"))</f>
        <v>Senior Above 54</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IF(Table1[[#This Row],[Age]]&lt;35,"Young People 0-35",IF(Table1[[#This Row],[Age]]&gt;54,"Senior Above 54","Middle Age 35-55"))</f>
        <v>Young People 0-35</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IF(Table1[[#This Row],[Age]]&lt;35,"Young People 0-35",IF(Table1[[#This Row],[Age]]&gt;54,"Senior Above 54","Middle Age 35-55"))</f>
        <v>Senior Above 54</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IF(Table1[[#This Row],[Age]]&lt;35,"Young People 0-35",IF(Table1[[#This Row],[Age]]&gt;54,"Senior Above 54","Middle Age 35-55"))</f>
        <v>Senior Above 54</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IF(Table1[[#This Row],[Age]]&lt;35,"Young People 0-35",IF(Table1[[#This Row],[Age]]&gt;54,"Senior Above 54","Middle Age 35-55"))</f>
        <v>Middle Age 35-55</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IF(Table1[[#This Row],[Age]]&lt;35,"Young People 0-35",IF(Table1[[#This Row],[Age]]&gt;54,"Senior Above 54","Middle Age 35-55"))</f>
        <v>Middle Age 35-55</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IF(Table1[[#This Row],[Age]]&lt;35,"Young People 0-35",IF(Table1[[#This Row],[Age]]&gt;54,"Senior Above 54","Middle Age 35-55"))</f>
        <v>Middle Age 35-55</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IF(Table1[[#This Row],[Age]]&lt;35,"Young People 0-35",IF(Table1[[#This Row],[Age]]&gt;54,"Senior Above 54","Middle Age 35-55"))</f>
        <v>Senior Above 54</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IF(Table1[[#This Row],[Age]]&lt;35,"Young People 0-35",IF(Table1[[#This Row],[Age]]&gt;54,"Senior Above 54","Middle Age 35-55"))</f>
        <v>Middle Age 35-55</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IF(Table1[[#This Row],[Age]]&lt;35,"Young People 0-35",IF(Table1[[#This Row],[Age]]&gt;54,"Senior Above 54","Middle Age 35-55"))</f>
        <v>Middle Age 35-55</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IF(Table1[[#This Row],[Age]]&lt;35,"Young People 0-35",IF(Table1[[#This Row],[Age]]&gt;54,"Senior Above 54","Middle Age 35-55"))</f>
        <v>Young People 0-35</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IF(Table1[[#This Row],[Age]]&lt;35,"Young People 0-35",IF(Table1[[#This Row],[Age]]&gt;54,"Senior Above 54","Middle Age 35-55"))</f>
        <v>Middle Age 35-55</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IF(Table1[[#This Row],[Age]]&lt;35,"Young People 0-35",IF(Table1[[#This Row],[Age]]&gt;54,"Senior Above 54","Middle Age 35-55"))</f>
        <v>Middle Age 35-55</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IF(Table1[[#This Row],[Age]]&lt;35,"Young People 0-35",IF(Table1[[#This Row],[Age]]&gt;54,"Senior Above 54","Middle Age 35-55"))</f>
        <v>Middle Age 35-55</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IF(Table1[[#This Row],[Age]]&lt;35,"Young People 0-35",IF(Table1[[#This Row],[Age]]&gt;54,"Senior Above 54","Middle Age 35-55"))</f>
        <v>Middle Age 35-55</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IF(Table1[[#This Row],[Age]]&lt;35,"Young People 0-35",IF(Table1[[#This Row],[Age]]&gt;54,"Senior Above 54","Middle Age 35-55"))</f>
        <v>Young People 0-35</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IF(Table1[[#This Row],[Age]]&lt;35,"Young People 0-35",IF(Table1[[#This Row],[Age]]&gt;54,"Senior Above 54","Middle Age 35-55"))</f>
        <v>Middle Age 35-55</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IF(Table1[[#This Row],[Age]]&lt;35,"Young People 0-35",IF(Table1[[#This Row],[Age]]&gt;54,"Senior Above 54","Middle Age 35-55"))</f>
        <v>Middle Age 35-55</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IF(Table1[[#This Row],[Age]]&lt;35,"Young People 0-35",IF(Table1[[#This Row],[Age]]&gt;54,"Senior Above 54","Middle Age 35-55"))</f>
        <v>Middle Age 35-55</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IF(Table1[[#This Row],[Age]]&lt;35,"Young People 0-35",IF(Table1[[#This Row],[Age]]&gt;54,"Senior Above 54","Middle Age 35-55"))</f>
        <v>Middle Age 35-55</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IF(Table1[[#This Row],[Age]]&lt;35,"Young People 0-35",IF(Table1[[#This Row],[Age]]&gt;54,"Senior Above 54","Middle Age 35-55"))</f>
        <v>Young People 0-35</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IF(Table1[[#This Row],[Age]]&lt;35,"Young People 0-35",IF(Table1[[#This Row],[Age]]&gt;54,"Senior Above 54","Middle Age 35-55"))</f>
        <v>Middle Age 35-55</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IF(Table1[[#This Row],[Age]]&lt;35,"Young People 0-35",IF(Table1[[#This Row],[Age]]&gt;54,"Senior Above 54","Middle Age 35-55"))</f>
        <v>Young People 0-35</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IF(Table1[[#This Row],[Age]]&lt;35,"Young People 0-35",IF(Table1[[#This Row],[Age]]&gt;54,"Senior Above 54","Middle Age 35-55"))</f>
        <v>Middle Age 35-55</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IF(Table1[[#This Row],[Age]]&lt;35,"Young People 0-35",IF(Table1[[#This Row],[Age]]&gt;54,"Senior Above 54","Middle Age 35-55"))</f>
        <v>Middle Age 35-55</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IF(Table1[[#This Row],[Age]]&lt;35,"Young People 0-35",IF(Table1[[#This Row],[Age]]&gt;54,"Senior Above 54","Middle Age 35-55"))</f>
        <v>Middle Age 35-55</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IF(Table1[[#This Row],[Age]]&lt;35,"Young People 0-35",IF(Table1[[#This Row],[Age]]&gt;54,"Senior Above 54","Middle Age 35-55"))</f>
        <v>Middle Age 35-55</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IF(Table1[[#This Row],[Age]]&lt;35,"Young People 0-35",IF(Table1[[#This Row],[Age]]&gt;54,"Senior Above 54","Middle Age 35-55"))</f>
        <v>Middle Age 35-55</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IF(Table1[[#This Row],[Age]]&lt;35,"Young People 0-35",IF(Table1[[#This Row],[Age]]&gt;54,"Senior Above 54","Middle Age 35-55"))</f>
        <v>Middle Age 35-55</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IF(Table1[[#This Row],[Age]]&lt;35,"Young People 0-35",IF(Table1[[#This Row],[Age]]&gt;54,"Senior Above 54","Middle Age 35-55"))</f>
        <v>Middle Age 35-55</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IF(Table1[[#This Row],[Age]]&lt;35,"Young People 0-35",IF(Table1[[#This Row],[Age]]&gt;54,"Senior Above 54","Middle Age 35-55"))</f>
        <v>Middle Age 35-55</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IF(Table1[[#This Row],[Age]]&lt;35,"Young People 0-35",IF(Table1[[#This Row],[Age]]&gt;54,"Senior Above 54","Middle Age 35-55"))</f>
        <v>Young People 0-35</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IF(Table1[[#This Row],[Age]]&lt;35,"Young People 0-35",IF(Table1[[#This Row],[Age]]&gt;54,"Senior Above 54","Middle Age 35-55"))</f>
        <v>Middle Age 35-55</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IF(Table1[[#This Row],[Age]]&lt;35,"Young People 0-35",IF(Table1[[#This Row],[Age]]&gt;54,"Senior Above 54","Middle Age 35-55"))</f>
        <v>Middle Age 35-55</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IF(Table1[[#This Row],[Age]]&lt;35,"Young People 0-35",IF(Table1[[#This Row],[Age]]&gt;54,"Senior Above 54","Middle Age 35-55"))</f>
        <v>Middle Age 35-55</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IF(Table1[[#This Row],[Age]]&lt;35,"Young People 0-35",IF(Table1[[#This Row],[Age]]&gt;54,"Senior Above 54","Middle Age 35-55"))</f>
        <v>Middle Age 35-55</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IF(Table1[[#This Row],[Age]]&lt;35,"Young People 0-35",IF(Table1[[#This Row],[Age]]&gt;54,"Senior Above 54","Middle Age 35-55"))</f>
        <v>Middle Age 35-55</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IF(Table1[[#This Row],[Age]]&lt;35,"Young People 0-35",IF(Table1[[#This Row],[Age]]&gt;54,"Senior Above 54","Middle Age 35-55"))</f>
        <v>Middle Age 35-55</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IF(Table1[[#This Row],[Age]]&lt;35,"Young People 0-35",IF(Table1[[#This Row],[Age]]&gt;54,"Senior Above 54","Middle Age 35-55"))</f>
        <v>Middle Age 35-55</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IF(Table1[[#This Row],[Age]]&lt;35,"Young People 0-35",IF(Table1[[#This Row],[Age]]&gt;54,"Senior Above 54","Middle Age 35-55"))</f>
        <v>Middle Age 35-55</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IF(Table1[[#This Row],[Age]]&lt;35,"Young People 0-35",IF(Table1[[#This Row],[Age]]&gt;54,"Senior Above 54","Middle Age 35-55"))</f>
        <v>Middle Age 35-55</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IF(Table1[[#This Row],[Age]]&lt;35,"Young People 0-35",IF(Table1[[#This Row],[Age]]&gt;54,"Senior Above 54","Middle Age 35-55"))</f>
        <v>Middle Age 35-55</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IF(Table1[[#This Row],[Age]]&lt;35,"Young People 0-35",IF(Table1[[#This Row],[Age]]&gt;54,"Senior Above 54","Middle Age 35-55"))</f>
        <v>Middle Age 35-55</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IF(Table1[[#This Row],[Age]]&lt;35,"Young People 0-35",IF(Table1[[#This Row],[Age]]&gt;54,"Senior Above 54","Middle Age 35-55"))</f>
        <v>Middle Age 35-55</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IF(Table1[[#This Row],[Age]]&lt;35,"Young People 0-35",IF(Table1[[#This Row],[Age]]&gt;54,"Senior Above 54","Middle Age 35-55"))</f>
        <v>Young People 0-35</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IF(Table1[[#This Row],[Age]]&lt;35,"Young People 0-35",IF(Table1[[#This Row],[Age]]&gt;54,"Senior Above 54","Middle Age 35-55"))</f>
        <v>Middle Age 35-55</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IF(Table1[[#This Row],[Age]]&lt;35,"Young People 0-35",IF(Table1[[#This Row],[Age]]&gt;54,"Senior Above 54","Middle Age 35-55"))</f>
        <v>Middle Age 35-55</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IF(Table1[[#This Row],[Age]]&lt;35,"Young People 0-35",IF(Table1[[#This Row],[Age]]&gt;54,"Senior Above 54","Middle Age 35-55"))</f>
        <v>Middle Age 35-55</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IF(Table1[[#This Row],[Age]]&lt;35,"Young People 0-35",IF(Table1[[#This Row],[Age]]&gt;54,"Senior Above 54","Middle Age 35-55"))</f>
        <v>Senior Above 54</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IF(Table1[[#This Row],[Age]]&lt;35,"Young People 0-35",IF(Table1[[#This Row],[Age]]&gt;54,"Senior Above 54","Middle Age 35-55"))</f>
        <v>Senior Above 54</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IF(Table1[[#This Row],[Age]]&lt;35,"Young People 0-35",IF(Table1[[#This Row],[Age]]&gt;54,"Senior Above 54","Middle Age 35-55"))</f>
        <v>Young People 0-35</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IF(Table1[[#This Row],[Age]]&lt;35,"Young People 0-35",IF(Table1[[#This Row],[Age]]&gt;54,"Senior Above 54","Middle Age 35-55"))</f>
        <v>Senior Above 54</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IF(Table1[[#This Row],[Age]]&lt;35,"Young People 0-35",IF(Table1[[#This Row],[Age]]&gt;54,"Senior Above 54","Middle Age 35-55"))</f>
        <v>Middle Age 35-55</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IF(Table1[[#This Row],[Age]]&lt;35,"Young People 0-35",IF(Table1[[#This Row],[Age]]&gt;54,"Senior Above 54","Middle Age 35-55"))</f>
        <v>Middle Age 35-55</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IF(Table1[[#This Row],[Age]]&lt;35,"Young People 0-35",IF(Table1[[#This Row],[Age]]&gt;54,"Senior Above 54","Middle Age 35-55"))</f>
        <v>Senior Above 54</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IF(Table1[[#This Row],[Age]]&lt;35,"Young People 0-35",IF(Table1[[#This Row],[Age]]&gt;54,"Senior Above 54","Middle Age 35-55"))</f>
        <v>Middle Age 35-55</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IF(Table1[[#This Row],[Age]]&lt;35,"Young People 0-35",IF(Table1[[#This Row],[Age]]&gt;54,"Senior Above 54","Middle Age 35-55"))</f>
        <v>Senior Above 54</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IF(Table1[[#This Row],[Age]]&lt;35,"Young People 0-35",IF(Table1[[#This Row],[Age]]&gt;54,"Senior Above 54","Middle Age 35-55"))</f>
        <v>Middle Age 35-55</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IF(Table1[[#This Row],[Age]]&lt;35,"Young People 0-35",IF(Table1[[#This Row],[Age]]&gt;54,"Senior Above 54","Middle Age 35-55"))</f>
        <v>Middle Age 35-55</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IF(Table1[[#This Row],[Age]]&lt;35,"Young People 0-35",IF(Table1[[#This Row],[Age]]&gt;54,"Senior Above 54","Middle Age 35-55"))</f>
        <v>Middle Age 35-55</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IF(Table1[[#This Row],[Age]]&lt;35,"Young People 0-35",IF(Table1[[#This Row],[Age]]&gt;54,"Senior Above 54","Middle Age 35-55"))</f>
        <v>Middle Age 35-55</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IF(Table1[[#This Row],[Age]]&lt;35,"Young People 0-35",IF(Table1[[#This Row],[Age]]&gt;54,"Senior Above 54","Middle Age 35-55"))</f>
        <v>Senior Above 54</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IF(Table1[[#This Row],[Age]]&lt;35,"Young People 0-35",IF(Table1[[#This Row],[Age]]&gt;54,"Senior Above 54","Middle Age 35-55"))</f>
        <v>Middle Age 35-55</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IF(Table1[[#This Row],[Age]]&lt;35,"Young People 0-35",IF(Table1[[#This Row],[Age]]&gt;54,"Senior Above 54","Middle Age 35-55"))</f>
        <v>Middle Age 35-55</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IF(Table1[[#This Row],[Age]]&lt;35,"Young People 0-35",IF(Table1[[#This Row],[Age]]&gt;54,"Senior Above 54","Middle Age 35-55"))</f>
        <v>Middle Age 35-55</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IF(Table1[[#This Row],[Age]]&lt;35,"Young People 0-35",IF(Table1[[#This Row],[Age]]&gt;54,"Senior Above 54","Middle Age 35-55"))</f>
        <v>Senior Above 54</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IF(Table1[[#This Row],[Age]]&lt;35,"Young People 0-35",IF(Table1[[#This Row],[Age]]&gt;54,"Senior Above 54","Middle Age 35-55"))</f>
        <v>Middle Age 35-55</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IF(Table1[[#This Row],[Age]]&lt;35,"Young People 0-35",IF(Table1[[#This Row],[Age]]&gt;54,"Senior Above 54","Middle Age 35-55"))</f>
        <v>Middle Age 35-55</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IF(Table1[[#This Row],[Age]]&lt;35,"Young People 0-35",IF(Table1[[#This Row],[Age]]&gt;54,"Senior Above 54","Middle Age 35-55"))</f>
        <v>Middle Age 35-55</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IF(Table1[[#This Row],[Age]]&lt;35,"Young People 0-35",IF(Table1[[#This Row],[Age]]&gt;54,"Senior Above 54","Middle Age 35-55"))</f>
        <v>Middle Age 35-55</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IF(Table1[[#This Row],[Age]]&lt;35,"Young People 0-35",IF(Table1[[#This Row],[Age]]&gt;54,"Senior Above 54","Middle Age 35-55"))</f>
        <v>Middle Age 35-55</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IF(Table1[[#This Row],[Age]]&lt;35,"Young People 0-35",IF(Table1[[#This Row],[Age]]&gt;54,"Senior Above 54","Middle Age 35-55"))</f>
        <v>Middle Age 35-55</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IF(Table1[[#This Row],[Age]]&lt;35,"Young People 0-35",IF(Table1[[#This Row],[Age]]&gt;54,"Senior Above 54","Middle Age 35-55"))</f>
        <v>Middle Age 35-55</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IF(Table1[[#This Row],[Age]]&lt;35,"Young People 0-35",IF(Table1[[#This Row],[Age]]&gt;54,"Senior Above 54","Middle Age 35-55"))</f>
        <v>Middle Age 35-55</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IF(Table1[[#This Row],[Age]]&lt;35,"Young People 0-35",IF(Table1[[#This Row],[Age]]&gt;54,"Senior Above 54","Middle Age 35-55"))</f>
        <v>Middle Age 35-55</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IF(Table1[[#This Row],[Age]]&lt;35,"Young People 0-35",IF(Table1[[#This Row],[Age]]&gt;54,"Senior Above 54","Middle Age 35-55"))</f>
        <v>Young People 0-35</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IF(Table1[[#This Row],[Age]]&lt;35,"Young People 0-35",IF(Table1[[#This Row],[Age]]&gt;54,"Senior Above 54","Middle Age 35-55"))</f>
        <v>Middle Age 35-55</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IF(Table1[[#This Row],[Age]]&lt;35,"Young People 0-35",IF(Table1[[#This Row],[Age]]&gt;54,"Senior Above 54","Middle Age 35-55"))</f>
        <v>Middle Age 35-55</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IF(Table1[[#This Row],[Age]]&lt;35,"Young People 0-35",IF(Table1[[#This Row],[Age]]&gt;54,"Senior Above 54","Middle Age 35-55"))</f>
        <v>Senior Above 54</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IF(Table1[[#This Row],[Age]]&lt;35,"Young People 0-35",IF(Table1[[#This Row],[Age]]&gt;54,"Senior Above 54","Middle Age 35-55"))</f>
        <v>Young People 0-35</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IF(Table1[[#This Row],[Age]]&lt;35,"Young People 0-35",IF(Table1[[#This Row],[Age]]&gt;54,"Senior Above 54","Middle Age 35-55"))</f>
        <v>Young People 0-35</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IF(Table1[[#This Row],[Age]]&lt;35,"Young People 0-35",IF(Table1[[#This Row],[Age]]&gt;54,"Senior Above 54","Middle Age 35-55"))</f>
        <v>Middle Age 35-55</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IF(Table1[[#This Row],[Age]]&lt;35,"Young People 0-35",IF(Table1[[#This Row],[Age]]&gt;54,"Senior Above 54","Middle Age 35-55"))</f>
        <v>Middle Age 35-55</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IF(Table1[[#This Row],[Age]]&lt;35,"Young People 0-35",IF(Table1[[#This Row],[Age]]&gt;54,"Senior Above 54","Middle Age 35-55"))</f>
        <v>Middle Age 35-55</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IF(Table1[[#This Row],[Age]]&lt;35,"Young People 0-35",IF(Table1[[#This Row],[Age]]&gt;54,"Senior Above 54","Middle Age 35-55"))</f>
        <v>Middle Age 35-55</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IF(Table1[[#This Row],[Age]]&lt;35,"Young People 0-35",IF(Table1[[#This Row],[Age]]&gt;54,"Senior Above 54","Middle Age 35-55"))</f>
        <v>Young People 0-35</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IF(Table1[[#This Row],[Age]]&lt;35,"Young People 0-35",IF(Table1[[#This Row],[Age]]&gt;54,"Senior Above 54","Middle Age 35-55"))</f>
        <v>Young People 0-35</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IF(Table1[[#This Row],[Age]]&lt;35,"Young People 0-35",IF(Table1[[#This Row],[Age]]&gt;54,"Senior Above 54","Middle Age 35-55"))</f>
        <v>Middle Age 35-55</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IF(Table1[[#This Row],[Age]]&lt;35,"Young People 0-35",IF(Table1[[#This Row],[Age]]&gt;54,"Senior Above 54","Middle Age 35-55"))</f>
        <v>Senior Above 54</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IF(Table1[[#This Row],[Age]]&lt;35,"Young People 0-35",IF(Table1[[#This Row],[Age]]&gt;54,"Senior Above 54","Middle Age 35-55"))</f>
        <v>Young People 0-35</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IF(Table1[[#This Row],[Age]]&lt;35,"Young People 0-35",IF(Table1[[#This Row],[Age]]&gt;54,"Senior Above 54","Middle Age 35-55"))</f>
        <v>Young People 0-35</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IF(Table1[[#This Row],[Age]]&lt;35,"Young People 0-35",IF(Table1[[#This Row],[Age]]&gt;54,"Senior Above 54","Middle Age 35-55"))</f>
        <v>Middle Age 35-55</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IF(Table1[[#This Row],[Age]]&lt;35,"Young People 0-35",IF(Table1[[#This Row],[Age]]&gt;54,"Senior Above 54","Middle Age 35-55"))</f>
        <v>Young People 0-35</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IF(Table1[[#This Row],[Age]]&lt;35,"Young People 0-35",IF(Table1[[#This Row],[Age]]&gt;54,"Senior Above 54","Middle Age 35-55"))</f>
        <v>Young People 0-35</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IF(Table1[[#This Row],[Age]]&lt;35,"Young People 0-35",IF(Table1[[#This Row],[Age]]&gt;54,"Senior Above 54","Middle Age 35-55"))</f>
        <v>Middle Age 35-55</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IF(Table1[[#This Row],[Age]]&lt;35,"Young People 0-35",IF(Table1[[#This Row],[Age]]&gt;54,"Senior Above 54","Middle Age 35-55"))</f>
        <v>Middle Age 35-55</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IF(Table1[[#This Row],[Age]]&lt;35,"Young People 0-35",IF(Table1[[#This Row],[Age]]&gt;54,"Senior Above 54","Middle Age 35-55"))</f>
        <v>Middle Age 35-55</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IF(Table1[[#This Row],[Age]]&lt;35,"Young People 0-35",IF(Table1[[#This Row],[Age]]&gt;54,"Senior Above 54","Middle Age 35-55"))</f>
        <v>Middle Age 35-55</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IF(Table1[[#This Row],[Age]]&lt;35,"Young People 0-35",IF(Table1[[#This Row],[Age]]&gt;54,"Senior Above 54","Middle Age 35-55"))</f>
        <v>Young People 0-35</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IF(Table1[[#This Row],[Age]]&lt;35,"Young People 0-35",IF(Table1[[#This Row],[Age]]&gt;54,"Senior Above 54","Middle Age 35-55"))</f>
        <v>Young People 0-35</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IF(Table1[[#This Row],[Age]]&lt;35,"Young People 0-35",IF(Table1[[#This Row],[Age]]&gt;54,"Senior Above 54","Middle Age 35-55"))</f>
        <v>Middle Age 35-55</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IF(Table1[[#This Row],[Age]]&lt;35,"Young People 0-35",IF(Table1[[#This Row],[Age]]&gt;54,"Senior Above 54","Middle Age 35-55"))</f>
        <v>Middle Age 35-55</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IF(Table1[[#This Row],[Age]]&lt;35,"Young People 0-35",IF(Table1[[#This Row],[Age]]&gt;54,"Senior Above 54","Middle Age 35-55"))</f>
        <v>Middle Age 35-55</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IF(Table1[[#This Row],[Age]]&lt;35,"Young People 0-35",IF(Table1[[#This Row],[Age]]&gt;54,"Senior Above 54","Middle Age 35-55"))</f>
        <v>Middle Age 35-55</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IF(Table1[[#This Row],[Age]]&lt;35,"Young People 0-35",IF(Table1[[#This Row],[Age]]&gt;54,"Senior Above 54","Middle Age 35-55"))</f>
        <v>Young People 0-35</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IF(Table1[[#This Row],[Age]]&lt;35,"Young People 0-35",IF(Table1[[#This Row],[Age]]&gt;54,"Senior Above 54","Middle Age 35-55"))</f>
        <v>Middle Age 35-55</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IF(Table1[[#This Row],[Age]]&lt;35,"Young People 0-35",IF(Table1[[#This Row],[Age]]&gt;54,"Senior Above 54","Middle Age 35-55"))</f>
        <v>Young People 0-35</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IF(Table1[[#This Row],[Age]]&lt;35,"Young People 0-35",IF(Table1[[#This Row],[Age]]&gt;54,"Senior Above 54","Middle Age 35-55"))</f>
        <v>Senior Above 54</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IF(Table1[[#This Row],[Age]]&lt;35,"Young People 0-35",IF(Table1[[#This Row],[Age]]&gt;54,"Senior Above 54","Middle Age 35-55"))</f>
        <v>Young People 0-35</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IF(Table1[[#This Row],[Age]]&lt;35,"Young People 0-35",IF(Table1[[#This Row],[Age]]&gt;54,"Senior Above 54","Middle Age 35-55"))</f>
        <v>Middle Age 35-55</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IF(Table1[[#This Row],[Age]]&lt;35,"Young People 0-35",IF(Table1[[#This Row],[Age]]&gt;54,"Senior Above 54","Middle Age 35-55"))</f>
        <v>Young People 0-35</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IF(Table1[[#This Row],[Age]]&lt;35,"Young People 0-35",IF(Table1[[#This Row],[Age]]&gt;54,"Senior Above 54","Middle Age 35-55"))</f>
        <v>Young People 0-35</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IF(Table1[[#This Row],[Age]]&lt;35,"Young People 0-35",IF(Table1[[#This Row],[Age]]&gt;54,"Senior Above 54","Middle Age 35-55"))</f>
        <v>Senior Above 54</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IF(Table1[[#This Row],[Age]]&lt;35,"Young People 0-35",IF(Table1[[#This Row],[Age]]&gt;54,"Senior Above 54","Middle Age 35-55"))</f>
        <v>Middle Age 35-55</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IF(Table1[[#This Row],[Age]]&lt;35,"Young People 0-35",IF(Table1[[#This Row],[Age]]&gt;54,"Senior Above 54","Middle Age 35-55"))</f>
        <v>Middle Age 35-55</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IF(Table1[[#This Row],[Age]]&lt;35,"Young People 0-35",IF(Table1[[#This Row],[Age]]&gt;54,"Senior Above 54","Middle Age 35-55"))</f>
        <v>Middle Age 35-55</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IF(Table1[[#This Row],[Age]]&lt;35,"Young People 0-35",IF(Table1[[#This Row],[Age]]&gt;54,"Senior Above 54","Middle Age 35-55"))</f>
        <v>Middle Age 35-55</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IF(Table1[[#This Row],[Age]]&lt;35,"Young People 0-35",IF(Table1[[#This Row],[Age]]&gt;54,"Senior Above 54","Middle Age 35-55"))</f>
        <v>Senior Above 54</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IF(Table1[[#This Row],[Age]]&lt;35,"Young People 0-35",IF(Table1[[#This Row],[Age]]&gt;54,"Senior Above 54","Middle Age 35-55"))</f>
        <v>Middle Age 35-55</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IF(Table1[[#This Row],[Age]]&lt;35,"Young People 0-35",IF(Table1[[#This Row],[Age]]&gt;54,"Senior Above 54","Middle Age 35-55"))</f>
        <v>Middle Age 35-55</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IF(Table1[[#This Row],[Age]]&lt;35,"Young People 0-35",IF(Table1[[#This Row],[Age]]&gt;54,"Senior Above 54","Middle Age 35-55"))</f>
        <v>Middle Age 35-55</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IF(Table1[[#This Row],[Age]]&lt;35,"Young People 0-35",IF(Table1[[#This Row],[Age]]&gt;54,"Senior Above 54","Middle Age 35-55"))</f>
        <v>Middle Age 35-55</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IF(Table1[[#This Row],[Age]]&lt;35,"Young People 0-35",IF(Table1[[#This Row],[Age]]&gt;54,"Senior Above 54","Middle Age 35-55"))</f>
        <v>Young People 0-35</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IF(Table1[[#This Row],[Age]]&lt;35,"Young People 0-35",IF(Table1[[#This Row],[Age]]&gt;54,"Senior Above 54","Middle Age 35-55"))</f>
        <v>Middle Age 35-55</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IF(Table1[[#This Row],[Age]]&lt;35,"Young People 0-35",IF(Table1[[#This Row],[Age]]&gt;54,"Senior Above 54","Middle Age 35-55"))</f>
        <v>Senior Above 54</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IF(Table1[[#This Row],[Age]]&lt;35,"Young People 0-35",IF(Table1[[#This Row],[Age]]&gt;54,"Senior Above 54","Middle Age 35-55"))</f>
        <v>Senior Above 54</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IF(Table1[[#This Row],[Age]]&lt;35,"Young People 0-35",IF(Table1[[#This Row],[Age]]&gt;54,"Senior Above 54","Middle Age 35-55"))</f>
        <v>Middle Age 35-55</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IF(Table1[[#This Row],[Age]]&lt;35,"Young People 0-35",IF(Table1[[#This Row],[Age]]&gt;54,"Senior Above 54","Middle Age 35-55"))</f>
        <v>Senior Above 54</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IF(Table1[[#This Row],[Age]]&lt;35,"Young People 0-35",IF(Table1[[#This Row],[Age]]&gt;54,"Senior Above 54","Middle Age 35-55"))</f>
        <v>Middle Age 35-55</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IF(Table1[[#This Row],[Age]]&lt;35,"Young People 0-35",IF(Table1[[#This Row],[Age]]&gt;54,"Senior Above 54","Middle Age 35-55"))</f>
        <v>Young People 0-35</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IF(Table1[[#This Row],[Age]]&lt;35,"Young People 0-35",IF(Table1[[#This Row],[Age]]&gt;54,"Senior Above 54","Middle Age 35-55"))</f>
        <v>Senior Above 54</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IF(Table1[[#This Row],[Age]]&lt;35,"Young People 0-35",IF(Table1[[#This Row],[Age]]&gt;54,"Senior Above 54","Middle Age 35-55"))</f>
        <v>Middle Age 35-55</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IF(Table1[[#This Row],[Age]]&lt;35,"Young People 0-35",IF(Table1[[#This Row],[Age]]&gt;54,"Senior Above 54","Middle Age 35-55"))</f>
        <v>Middle Age 35-55</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IF(Table1[[#This Row],[Age]]&lt;35,"Young People 0-35",IF(Table1[[#This Row],[Age]]&gt;54,"Senior Above 54","Middle Age 35-55"))</f>
        <v>Young People 0-35</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IF(Table1[[#This Row],[Age]]&lt;35,"Young People 0-35",IF(Table1[[#This Row],[Age]]&gt;54,"Senior Above 54","Middle Age 35-55"))</f>
        <v>Middle Age 35-55</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IF(Table1[[#This Row],[Age]]&lt;35,"Young People 0-35",IF(Table1[[#This Row],[Age]]&gt;54,"Senior Above 54","Middle Age 35-55"))</f>
        <v>Young People 0-35</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IF(Table1[[#This Row],[Age]]&lt;35,"Young People 0-35",IF(Table1[[#This Row],[Age]]&gt;54,"Senior Above 54","Middle Age 35-55"))</f>
        <v>Young People 0-35</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IF(Table1[[#This Row],[Age]]&lt;35,"Young People 0-35",IF(Table1[[#This Row],[Age]]&gt;54,"Senior Above 54","Middle Age 35-55"))</f>
        <v>Senior Above 54</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IF(Table1[[#This Row],[Age]]&lt;35,"Young People 0-35",IF(Table1[[#This Row],[Age]]&gt;54,"Senior Above 54","Middle Age 35-55"))</f>
        <v>Middle Age 35-55</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IF(Table1[[#This Row],[Age]]&lt;35,"Young People 0-35",IF(Table1[[#This Row],[Age]]&gt;54,"Senior Above 54","Middle Age 35-55"))</f>
        <v>Middle Age 35-55</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IF(Table1[[#This Row],[Age]]&lt;35,"Young People 0-35",IF(Table1[[#This Row],[Age]]&gt;54,"Senior Above 54","Middle Age 35-55"))</f>
        <v>Middle Age 35-55</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IF(Table1[[#This Row],[Age]]&lt;35,"Young People 0-35",IF(Table1[[#This Row],[Age]]&gt;54,"Senior Above 54","Middle Age 35-55"))</f>
        <v>Middle Age 35-55</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IF(Table1[[#This Row],[Age]]&lt;35,"Young People 0-35",IF(Table1[[#This Row],[Age]]&gt;54,"Senior Above 54","Middle Age 35-55"))</f>
        <v>Young People 0-35</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IF(Table1[[#This Row],[Age]]&lt;35,"Young People 0-35",IF(Table1[[#This Row],[Age]]&gt;54,"Senior Above 54","Middle Age 35-55"))</f>
        <v>Middle Age 35-55</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IF(Table1[[#This Row],[Age]]&lt;35,"Young People 0-35",IF(Table1[[#This Row],[Age]]&gt;54,"Senior Above 54","Middle Age 35-55"))</f>
        <v>Middle Age 35-55</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IF(Table1[[#This Row],[Age]]&lt;35,"Young People 0-35",IF(Table1[[#This Row],[Age]]&gt;54,"Senior Above 54","Middle Age 35-55"))</f>
        <v>Middle Age 35-55</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IF(Table1[[#This Row],[Age]]&lt;35,"Young People 0-35",IF(Table1[[#This Row],[Age]]&gt;54,"Senior Above 54","Middle Age 35-55"))</f>
        <v>Senior Above 54</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IF(Table1[[#This Row],[Age]]&lt;35,"Young People 0-35",IF(Table1[[#This Row],[Age]]&gt;54,"Senior Above 54","Middle Age 35-55"))</f>
        <v>Middle Age 35-55</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IF(Table1[[#This Row],[Age]]&lt;35,"Young People 0-35",IF(Table1[[#This Row],[Age]]&gt;54,"Senior Above 54","Middle Age 35-55"))</f>
        <v>Middle Age 35-55</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IF(Table1[[#This Row],[Age]]&lt;35,"Young People 0-35",IF(Table1[[#This Row],[Age]]&gt;54,"Senior Above 54","Middle Age 35-55"))</f>
        <v>Middle Age 35-55</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IF(Table1[[#This Row],[Age]]&lt;35,"Young People 0-35",IF(Table1[[#This Row],[Age]]&gt;54,"Senior Above 54","Middle Age 35-55"))</f>
        <v>Senior Above 54</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IF(Table1[[#This Row],[Age]]&lt;35,"Young People 0-35",IF(Table1[[#This Row],[Age]]&gt;54,"Senior Above 54","Middle Age 35-55"))</f>
        <v>Middle Age 35-55</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IF(Table1[[#This Row],[Age]]&lt;35,"Young People 0-35",IF(Table1[[#This Row],[Age]]&gt;54,"Senior Above 54","Middle Age 35-55"))</f>
        <v>Middle Age 35-55</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IF(Table1[[#This Row],[Age]]&lt;35,"Young People 0-35",IF(Table1[[#This Row],[Age]]&gt;54,"Senior Above 54","Middle Age 35-55"))</f>
        <v>Middle Age 35-55</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IF(Table1[[#This Row],[Age]]&lt;35,"Young People 0-35",IF(Table1[[#This Row],[Age]]&gt;54,"Senior Above 54","Middle Age 35-55"))</f>
        <v>Middle Age 35-55</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IF(Table1[[#This Row],[Age]]&lt;35,"Young People 0-35",IF(Table1[[#This Row],[Age]]&gt;54,"Senior Above 54","Middle Age 35-55"))</f>
        <v>Middle Age 35-55</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IF(Table1[[#This Row],[Age]]&lt;35,"Young People 0-35",IF(Table1[[#This Row],[Age]]&gt;54,"Senior Above 54","Middle Age 35-55"))</f>
        <v>Middle Age 35-55</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IF(Table1[[#This Row],[Age]]&lt;35,"Young People 0-35",IF(Table1[[#This Row],[Age]]&gt;54,"Senior Above 54","Middle Age 35-55"))</f>
        <v>Young People 0-35</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IF(Table1[[#This Row],[Age]]&lt;35,"Young People 0-35",IF(Table1[[#This Row],[Age]]&gt;54,"Senior Above 54","Middle Age 35-55"))</f>
        <v>Middle Age 35-55</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IF(Table1[[#This Row],[Age]]&lt;35,"Young People 0-35",IF(Table1[[#This Row],[Age]]&gt;54,"Senior Above 54","Middle Age 35-55"))</f>
        <v>Middle Age 35-55</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IF(Table1[[#This Row],[Age]]&lt;35,"Young People 0-35",IF(Table1[[#This Row],[Age]]&gt;54,"Senior Above 54","Middle Age 35-55"))</f>
        <v>Middle Age 35-55</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IF(Table1[[#This Row],[Age]]&lt;35,"Young People 0-35",IF(Table1[[#This Row],[Age]]&gt;54,"Senior Above 54","Middle Age 35-55"))</f>
        <v>Young People 0-35</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IF(Table1[[#This Row],[Age]]&lt;35,"Young People 0-35",IF(Table1[[#This Row],[Age]]&gt;54,"Senior Above 54","Middle Age 35-55"))</f>
        <v>Senior Above 54</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IF(Table1[[#This Row],[Age]]&lt;35,"Young People 0-35",IF(Table1[[#This Row],[Age]]&gt;54,"Senior Above 54","Middle Age 35-55"))</f>
        <v>Middle Age 35-55</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IF(Table1[[#This Row],[Age]]&lt;35,"Young People 0-35",IF(Table1[[#This Row],[Age]]&gt;54,"Senior Above 54","Middle Age 35-55"))</f>
        <v>Middle Age 35-55</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IF(Table1[[#This Row],[Age]]&lt;35,"Young People 0-35",IF(Table1[[#This Row],[Age]]&gt;54,"Senior Above 54","Middle Age 35-55"))</f>
        <v>Middle Age 35-55</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IF(Table1[[#This Row],[Age]]&lt;35,"Young People 0-35",IF(Table1[[#This Row],[Age]]&gt;54,"Senior Above 54","Middle Age 35-55"))</f>
        <v>Senior Above 54</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IF(Table1[[#This Row],[Age]]&lt;35,"Young People 0-35",IF(Table1[[#This Row],[Age]]&gt;54,"Senior Above 54","Middle Age 35-55"))</f>
        <v>Middle Age 35-55</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IF(Table1[[#This Row],[Age]]&lt;35,"Young People 0-35",IF(Table1[[#This Row],[Age]]&gt;54,"Senior Above 54","Middle Age 35-55"))</f>
        <v>Middle Age 35-55</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IF(Table1[[#This Row],[Age]]&lt;35,"Young People 0-35",IF(Table1[[#This Row],[Age]]&gt;54,"Senior Above 54","Middle Age 35-55"))</f>
        <v>Senior Above 54</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IF(Table1[[#This Row],[Age]]&lt;35,"Young People 0-35",IF(Table1[[#This Row],[Age]]&gt;54,"Senior Above 54","Middle Age 35-55"))</f>
        <v>Middle Age 35-55</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IF(Table1[[#This Row],[Age]]&lt;35,"Young People 0-35",IF(Table1[[#This Row],[Age]]&gt;54,"Senior Above 54","Middle Age 35-55"))</f>
        <v>Young People 0-35</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IF(Table1[[#This Row],[Age]]&lt;35,"Young People 0-35",IF(Table1[[#This Row],[Age]]&gt;54,"Senior Above 54","Middle Age 35-55"))</f>
        <v>Young People 0-35</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IF(Table1[[#This Row],[Age]]&lt;35,"Young People 0-35",IF(Table1[[#This Row],[Age]]&gt;54,"Senior Above 54","Middle Age 35-55"))</f>
        <v>Middle Age 35-55</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IF(Table1[[#This Row],[Age]]&lt;35,"Young People 0-35",IF(Table1[[#This Row],[Age]]&gt;54,"Senior Above 54","Middle Age 35-55"))</f>
        <v>Senior Above 54</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IF(Table1[[#This Row],[Age]]&lt;35,"Young People 0-35",IF(Table1[[#This Row],[Age]]&gt;54,"Senior Above 54","Middle Age 35-55"))</f>
        <v>Young People 0-35</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IF(Table1[[#This Row],[Age]]&lt;35,"Young People 0-35",IF(Table1[[#This Row],[Age]]&gt;54,"Senior Above 54","Middle Age 35-55"))</f>
        <v>Middle Age 35-55</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IF(Table1[[#This Row],[Age]]&lt;35,"Young People 0-35",IF(Table1[[#This Row],[Age]]&gt;54,"Senior Above 54","Middle Age 35-55"))</f>
        <v>Middle Age 35-55</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IF(Table1[[#This Row],[Age]]&lt;35,"Young People 0-35",IF(Table1[[#This Row],[Age]]&gt;54,"Senior Above 54","Middle Age 35-55"))</f>
        <v>Young People 0-35</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IF(Table1[[#This Row],[Age]]&lt;35,"Young People 0-35",IF(Table1[[#This Row],[Age]]&gt;54,"Senior Above 54","Middle Age 35-55"))</f>
        <v>Senior Above 54</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IF(Table1[[#This Row],[Age]]&lt;35,"Young People 0-35",IF(Table1[[#This Row],[Age]]&gt;54,"Senior Above 54","Middle Age 35-55"))</f>
        <v>Young People 0-35</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IF(Table1[[#This Row],[Age]]&lt;35,"Young People 0-35",IF(Table1[[#This Row],[Age]]&gt;54,"Senior Above 54","Middle Age 35-55"))</f>
        <v>Young People 0-35</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IF(Table1[[#This Row],[Age]]&lt;35,"Young People 0-35",IF(Table1[[#This Row],[Age]]&gt;54,"Senior Above 54","Middle Age 35-55"))</f>
        <v>Young People 0-35</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IF(Table1[[#This Row],[Age]]&lt;35,"Young People 0-35",IF(Table1[[#This Row],[Age]]&gt;54,"Senior Above 54","Middle Age 35-55"))</f>
        <v>Middle Age 35-55</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IF(Table1[[#This Row],[Age]]&lt;35,"Young People 0-35",IF(Table1[[#This Row],[Age]]&gt;54,"Senior Above 54","Middle Age 35-55"))</f>
        <v>Senior Above 54</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IF(Table1[[#This Row],[Age]]&lt;35,"Young People 0-35",IF(Table1[[#This Row],[Age]]&gt;54,"Senior Above 54","Middle Age 35-55"))</f>
        <v>Middle Age 35-55</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IF(Table1[[#This Row],[Age]]&lt;35,"Young People 0-35",IF(Table1[[#This Row],[Age]]&gt;54,"Senior Above 54","Middle Age 35-55"))</f>
        <v>Young People 0-35</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IF(Table1[[#This Row],[Age]]&lt;35,"Young People 0-35",IF(Table1[[#This Row],[Age]]&gt;54,"Senior Above 54","Middle Age 35-55"))</f>
        <v>Middle Age 35-55</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IF(Table1[[#This Row],[Age]]&lt;35,"Young People 0-35",IF(Table1[[#This Row],[Age]]&gt;54,"Senior Above 54","Middle Age 35-55"))</f>
        <v>Middle Age 35-55</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IF(Table1[[#This Row],[Age]]&lt;35,"Young People 0-35",IF(Table1[[#This Row],[Age]]&gt;54,"Senior Above 54","Middle Age 35-55"))</f>
        <v>Young People 0-35</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IF(Table1[[#This Row],[Age]]&lt;35,"Young People 0-35",IF(Table1[[#This Row],[Age]]&gt;54,"Senior Above 54","Middle Age 35-55"))</f>
        <v>Middle Age 35-55</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IF(Table1[[#This Row],[Age]]&lt;35,"Young People 0-35",IF(Table1[[#This Row],[Age]]&gt;54,"Senior Above 54","Middle Age 35-55"))</f>
        <v>Middle Age 35-55</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IF(Table1[[#This Row],[Age]]&lt;35,"Young People 0-35",IF(Table1[[#This Row],[Age]]&gt;54,"Senior Above 54","Middle Age 35-55"))</f>
        <v>Middle Age 35-55</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IF(Table1[[#This Row],[Age]]&lt;35,"Young People 0-35",IF(Table1[[#This Row],[Age]]&gt;54,"Senior Above 54","Middle Age 35-55"))</f>
        <v>Young People 0-35</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IF(Table1[[#This Row],[Age]]&lt;35,"Young People 0-35",IF(Table1[[#This Row],[Age]]&gt;54,"Senior Above 54","Middle Age 35-55"))</f>
        <v>Young People 0-35</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IF(Table1[[#This Row],[Age]]&lt;35,"Young People 0-35",IF(Table1[[#This Row],[Age]]&gt;54,"Senior Above 54","Middle Age 35-55"))</f>
        <v>Middle Age 35-55</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IF(Table1[[#This Row],[Age]]&lt;35,"Young People 0-35",IF(Table1[[#This Row],[Age]]&gt;54,"Senior Above 54","Middle Age 35-55"))</f>
        <v>Young People 0-35</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IF(Table1[[#This Row],[Age]]&lt;35,"Young People 0-35",IF(Table1[[#This Row],[Age]]&gt;54,"Senior Above 54","Middle Age 35-55"))</f>
        <v>Middle Age 35-55</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IF(Table1[[#This Row],[Age]]&lt;35,"Young People 0-35",IF(Table1[[#This Row],[Age]]&gt;54,"Senior Above 54","Middle Age 35-55"))</f>
        <v>Middle Age 35-55</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IF(Table1[[#This Row],[Age]]&lt;35,"Young People 0-35",IF(Table1[[#This Row],[Age]]&gt;54,"Senior Above 54","Middle Age 35-55"))</f>
        <v>Middle Age 35-55</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IF(Table1[[#This Row],[Age]]&lt;35,"Young People 0-35",IF(Table1[[#This Row],[Age]]&gt;54,"Senior Above 54","Middle Age 35-55"))</f>
        <v>Middle Age 35-55</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IF(Table1[[#This Row],[Age]]&lt;35,"Young People 0-35",IF(Table1[[#This Row],[Age]]&gt;54,"Senior Above 54","Middle Age 35-55"))</f>
        <v>Senior Above 54</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IF(Table1[[#This Row],[Age]]&lt;35,"Young People 0-35",IF(Table1[[#This Row],[Age]]&gt;54,"Senior Above 54","Middle Age 35-55"))</f>
        <v>Middle Age 35-55</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IF(Table1[[#This Row],[Age]]&lt;35,"Young People 0-35",IF(Table1[[#This Row],[Age]]&gt;54,"Senior Above 54","Middle Age 35-55"))</f>
        <v>Young People 0-35</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IF(Table1[[#This Row],[Age]]&lt;35,"Young People 0-35",IF(Table1[[#This Row],[Age]]&gt;54,"Senior Above 54","Middle Age 35-55"))</f>
        <v>Middle Age 35-55</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IF(Table1[[#This Row],[Age]]&lt;35,"Young People 0-35",IF(Table1[[#This Row],[Age]]&gt;54,"Senior Above 54","Middle Age 35-55"))</f>
        <v>Middle Age 35-55</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IF(Table1[[#This Row],[Age]]&lt;35,"Young People 0-35",IF(Table1[[#This Row],[Age]]&gt;54,"Senior Above 54","Middle Age 35-55"))</f>
        <v>Senior Above 54</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IF(Table1[[#This Row],[Age]]&lt;35,"Young People 0-35",IF(Table1[[#This Row],[Age]]&gt;54,"Senior Above 54","Middle Age 35-55"))</f>
        <v>Young People 0-35</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IF(Table1[[#This Row],[Age]]&lt;35,"Young People 0-35",IF(Table1[[#This Row],[Age]]&gt;54,"Senior Above 54","Middle Age 35-55"))</f>
        <v>Young People 0-35</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IF(Table1[[#This Row],[Age]]&lt;35,"Young People 0-35",IF(Table1[[#This Row],[Age]]&gt;54,"Senior Above 54","Middle Age 35-55"))</f>
        <v>Young People 0-35</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IF(Table1[[#This Row],[Age]]&lt;35,"Young People 0-35",IF(Table1[[#This Row],[Age]]&gt;54,"Senior Above 54","Middle Age 35-55"))</f>
        <v>Middle Age 35-55</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IF(Table1[[#This Row],[Age]]&lt;35,"Young People 0-35",IF(Table1[[#This Row],[Age]]&gt;54,"Senior Above 54","Middle Age 35-55"))</f>
        <v>Middle Age 35-55</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IF(Table1[[#This Row],[Age]]&lt;35,"Young People 0-35",IF(Table1[[#This Row],[Age]]&gt;54,"Senior Above 54","Middle Age 35-55"))</f>
        <v>Middle Age 35-55</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IF(Table1[[#This Row],[Age]]&lt;35,"Young People 0-35",IF(Table1[[#This Row],[Age]]&gt;54,"Senior Above 54","Middle Age 35-55"))</f>
        <v>Middle Age 35-55</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IF(Table1[[#This Row],[Age]]&lt;35,"Young People 0-35",IF(Table1[[#This Row],[Age]]&gt;54,"Senior Above 54","Middle Age 35-55"))</f>
        <v>Senior Above 54</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IF(Table1[[#This Row],[Age]]&lt;35,"Young People 0-35",IF(Table1[[#This Row],[Age]]&gt;54,"Senior Above 54","Middle Age 35-55"))</f>
        <v>Middle Age 35-55</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IF(Table1[[#This Row],[Age]]&lt;35,"Young People 0-35",IF(Table1[[#This Row],[Age]]&gt;54,"Senior Above 54","Middle Age 35-55"))</f>
        <v>Middle Age 35-55</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IF(Table1[[#This Row],[Age]]&lt;35,"Young People 0-35",IF(Table1[[#This Row],[Age]]&gt;54,"Senior Above 54","Middle Age 35-55"))</f>
        <v>Middle Age 35-55</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IF(Table1[[#This Row],[Age]]&lt;35,"Young People 0-35",IF(Table1[[#This Row],[Age]]&gt;54,"Senior Above 54","Middle Age 35-55"))</f>
        <v>Senior Above 54</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IF(Table1[[#This Row],[Age]]&lt;35,"Young People 0-35",IF(Table1[[#This Row],[Age]]&gt;54,"Senior Above 54","Middle Age 35-55"))</f>
        <v>Young People 0-35</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IF(Table1[[#This Row],[Age]]&lt;35,"Young People 0-35",IF(Table1[[#This Row],[Age]]&gt;54,"Senior Above 54","Middle Age 35-55"))</f>
        <v>Middle Age 35-55</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IF(Table1[[#This Row],[Age]]&lt;35,"Young People 0-35",IF(Table1[[#This Row],[Age]]&gt;54,"Senior Above 54","Middle Age 35-55"))</f>
        <v>Middle Age 35-55</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IF(Table1[[#This Row],[Age]]&lt;35,"Young People 0-35",IF(Table1[[#This Row],[Age]]&gt;54,"Senior Above 54","Middle Age 35-55"))</f>
        <v>Middle Age 35-55</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IF(Table1[[#This Row],[Age]]&lt;35,"Young People 0-35",IF(Table1[[#This Row],[Age]]&gt;54,"Senior Above 54","Middle Age 35-55"))</f>
        <v>Middle Age 35-55</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IF(Table1[[#This Row],[Age]]&lt;35,"Young People 0-35",IF(Table1[[#This Row],[Age]]&gt;54,"Senior Above 54","Middle Age 35-55"))</f>
        <v>Senior Above 54</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IF(Table1[[#This Row],[Age]]&lt;35,"Young People 0-35",IF(Table1[[#This Row],[Age]]&gt;54,"Senior Above 54","Middle Age 35-55"))</f>
        <v>Middle Age 35-55</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IF(Table1[[#This Row],[Age]]&lt;35,"Young People 0-35",IF(Table1[[#This Row],[Age]]&gt;54,"Senior Above 54","Middle Age 35-55"))</f>
        <v>Middle Age 35-55</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IF(Table1[[#This Row],[Age]]&lt;35,"Young People 0-35",IF(Table1[[#This Row],[Age]]&gt;54,"Senior Above 54","Middle Age 35-55"))</f>
        <v>Middle Age 35-55</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IF(Table1[[#This Row],[Age]]&lt;35,"Young People 0-35",IF(Table1[[#This Row],[Age]]&gt;54,"Senior Above 54","Middle Age 35-55"))</f>
        <v>Young People 0-35</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IF(Table1[[#This Row],[Age]]&lt;35,"Young People 0-35",IF(Table1[[#This Row],[Age]]&gt;54,"Senior Above 54","Middle Age 35-55"))</f>
        <v>Middle Age 35-55</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IF(Table1[[#This Row],[Age]]&lt;35,"Young People 0-35",IF(Table1[[#This Row],[Age]]&gt;54,"Senior Above 54","Middle Age 35-55"))</f>
        <v>Young People 0-35</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IF(Table1[[#This Row],[Age]]&lt;35,"Young People 0-35",IF(Table1[[#This Row],[Age]]&gt;54,"Senior Above 54","Middle Age 35-55"))</f>
        <v>Middle Age 35-55</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IF(Table1[[#This Row],[Age]]&lt;35,"Young People 0-35",IF(Table1[[#This Row],[Age]]&gt;54,"Senior Above 54","Middle Age 35-55"))</f>
        <v>Senior Above 54</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IF(Table1[[#This Row],[Age]]&lt;35,"Young People 0-35",IF(Table1[[#This Row],[Age]]&gt;54,"Senior Above 54","Middle Age 35-55"))</f>
        <v>Young People 0-35</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IF(Table1[[#This Row],[Age]]&lt;35,"Young People 0-35",IF(Table1[[#This Row],[Age]]&gt;54,"Senior Above 54","Middle Age 35-55"))</f>
        <v>Middle Age 35-55</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IF(Table1[[#This Row],[Age]]&lt;35,"Young People 0-35",IF(Table1[[#This Row],[Age]]&gt;54,"Senior Above 54","Middle Age 35-55"))</f>
        <v>Senior Above 54</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IF(Table1[[#This Row],[Age]]&lt;35,"Young People 0-35",IF(Table1[[#This Row],[Age]]&gt;54,"Senior Above 54","Middle Age 35-55"))</f>
        <v>Middle Age 35-55</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IF(Table1[[#This Row],[Age]]&lt;35,"Young People 0-35",IF(Table1[[#This Row],[Age]]&gt;54,"Senior Above 54","Middle Age 35-55"))</f>
        <v>Young People 0-35</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IF(Table1[[#This Row],[Age]]&lt;35,"Young People 0-35",IF(Table1[[#This Row],[Age]]&gt;54,"Senior Above 54","Middle Age 35-55"))</f>
        <v>Young People 0-35</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IF(Table1[[#This Row],[Age]]&lt;35,"Young People 0-35",IF(Table1[[#This Row],[Age]]&gt;54,"Senior Above 54","Middle Age 35-55"))</f>
        <v>Middle Age 35-55</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IF(Table1[[#This Row],[Age]]&lt;35,"Young People 0-35",IF(Table1[[#This Row],[Age]]&gt;54,"Senior Above 54","Middle Age 35-55"))</f>
        <v>Middle Age 35-55</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IF(Table1[[#This Row],[Age]]&lt;35,"Young People 0-35",IF(Table1[[#This Row],[Age]]&gt;54,"Senior Above 54","Middle Age 35-55"))</f>
        <v>Young People 0-35</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IF(Table1[[#This Row],[Age]]&lt;35,"Young People 0-35",IF(Table1[[#This Row],[Age]]&gt;54,"Senior Above 54","Middle Age 35-55"))</f>
        <v>Senior Above 54</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IF(Table1[[#This Row],[Age]]&lt;35,"Young People 0-35",IF(Table1[[#This Row],[Age]]&gt;54,"Senior Above 54","Middle Age 35-55"))</f>
        <v>Middle Age 35-55</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IF(Table1[[#This Row],[Age]]&lt;35,"Young People 0-35",IF(Table1[[#This Row],[Age]]&gt;54,"Senior Above 54","Middle Age 35-55"))</f>
        <v>Senior Above 54</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IF(Table1[[#This Row],[Age]]&lt;35,"Young People 0-35",IF(Table1[[#This Row],[Age]]&gt;54,"Senior Above 54","Middle Age 35-55"))</f>
        <v>Middle Age 35-55</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IF(Table1[[#This Row],[Age]]&lt;35,"Young People 0-35",IF(Table1[[#This Row],[Age]]&gt;54,"Senior Above 54","Middle Age 35-55"))</f>
        <v>Young People 0-35</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IF(Table1[[#This Row],[Age]]&lt;35,"Young People 0-35",IF(Table1[[#This Row],[Age]]&gt;54,"Senior Above 54","Middle Age 35-55"))</f>
        <v>Middle Age 35-55</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IF(Table1[[#This Row],[Age]]&lt;35,"Young People 0-35",IF(Table1[[#This Row],[Age]]&gt;54,"Senior Above 54","Middle Age 35-55"))</f>
        <v>Young People 0-35</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IF(Table1[[#This Row],[Age]]&lt;35,"Young People 0-35",IF(Table1[[#This Row],[Age]]&gt;54,"Senior Above 54","Middle Age 35-55"))</f>
        <v>Middle Age 35-55</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IF(Table1[[#This Row],[Age]]&lt;35,"Young People 0-35",IF(Table1[[#This Row],[Age]]&gt;54,"Senior Above 54","Middle Age 35-55"))</f>
        <v>Young People 0-35</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IF(Table1[[#This Row],[Age]]&lt;35,"Young People 0-35",IF(Table1[[#This Row],[Age]]&gt;54,"Senior Above 54","Middle Age 35-55"))</f>
        <v>Young People 0-35</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IF(Table1[[#This Row],[Age]]&lt;35,"Young People 0-35",IF(Table1[[#This Row],[Age]]&gt;54,"Senior Above 54","Middle Age 35-55"))</f>
        <v>Middle Age 35-55</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IF(Table1[[#This Row],[Age]]&lt;35,"Young People 0-35",IF(Table1[[#This Row],[Age]]&gt;54,"Senior Above 54","Middle Age 35-55"))</f>
        <v>Middle Age 35-55</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IF(Table1[[#This Row],[Age]]&lt;35,"Young People 0-35",IF(Table1[[#This Row],[Age]]&gt;54,"Senior Above 54","Middle Age 35-55"))</f>
        <v>Middle Age 35-55</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IF(Table1[[#This Row],[Age]]&lt;35,"Young People 0-35",IF(Table1[[#This Row],[Age]]&gt;54,"Senior Above 54","Middle Age 35-55"))</f>
        <v>Middle Age 35-55</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IF(Table1[[#This Row],[Age]]&lt;35,"Young People 0-35",IF(Table1[[#This Row],[Age]]&gt;54,"Senior Above 54","Middle Age 35-55"))</f>
        <v>Middle Age 35-55</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IF(Table1[[#This Row],[Age]]&lt;35,"Young People 0-35",IF(Table1[[#This Row],[Age]]&gt;54,"Senior Above 54","Middle Age 35-55"))</f>
        <v>Young People 0-35</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IF(Table1[[#This Row],[Age]]&lt;35,"Young People 0-35",IF(Table1[[#This Row],[Age]]&gt;54,"Senior Above 54","Middle Age 35-55"))</f>
        <v>Middle Age 35-55</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IF(Table1[[#This Row],[Age]]&lt;35,"Young People 0-35",IF(Table1[[#This Row],[Age]]&gt;54,"Senior Above 54","Middle Age 35-55"))</f>
        <v>Middle Age 35-55</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IF(Table1[[#This Row],[Age]]&lt;35,"Young People 0-35",IF(Table1[[#This Row],[Age]]&gt;54,"Senior Above 54","Middle Age 35-55"))</f>
        <v>Senior Above 54</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IF(Table1[[#This Row],[Age]]&lt;35,"Young People 0-35",IF(Table1[[#This Row],[Age]]&gt;54,"Senior Above 54","Middle Age 35-55"))</f>
        <v>Middle Age 35-55</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IF(Table1[[#This Row],[Age]]&lt;35,"Young People 0-35",IF(Table1[[#This Row],[Age]]&gt;54,"Senior Above 54","Middle Age 35-55"))</f>
        <v>Senior Above 54</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IF(Table1[[#This Row],[Age]]&lt;35,"Young People 0-35",IF(Table1[[#This Row],[Age]]&gt;54,"Senior Above 54","Middle Age 35-55"))</f>
        <v>Middle Age 35-55</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IF(Table1[[#This Row],[Age]]&lt;35,"Young People 0-35",IF(Table1[[#This Row],[Age]]&gt;54,"Senior Above 54","Middle Age 35-55"))</f>
        <v>Middle Age 35-55</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IF(Table1[[#This Row],[Age]]&lt;35,"Young People 0-35",IF(Table1[[#This Row],[Age]]&gt;54,"Senior Above 54","Middle Age 35-55"))</f>
        <v>Middle Age 35-55</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IF(Table1[[#This Row],[Age]]&lt;35,"Young People 0-35",IF(Table1[[#This Row],[Age]]&gt;54,"Senior Above 54","Middle Age 35-55"))</f>
        <v>Middle Age 35-55</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IF(Table1[[#This Row],[Age]]&lt;35,"Young People 0-35",IF(Table1[[#This Row],[Age]]&gt;54,"Senior Above 54","Middle Age 35-55"))</f>
        <v>Young People 0-35</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IF(Table1[[#This Row],[Age]]&lt;35,"Young People 0-35",IF(Table1[[#This Row],[Age]]&gt;54,"Senior Above 54","Middle Age 35-55"))</f>
        <v>Senior Above 54</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IF(Table1[[#This Row],[Age]]&lt;35,"Young People 0-35",IF(Table1[[#This Row],[Age]]&gt;54,"Senior Above 54","Middle Age 35-55"))</f>
        <v>Middle Age 35-55</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IF(Table1[[#This Row],[Age]]&lt;35,"Young People 0-35",IF(Table1[[#This Row],[Age]]&gt;54,"Senior Above 54","Middle Age 35-55"))</f>
        <v>Senior Above 54</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IF(Table1[[#This Row],[Age]]&lt;35,"Young People 0-35",IF(Table1[[#This Row],[Age]]&gt;54,"Senior Above 54","Middle Age 35-55"))</f>
        <v>Middle Age 35-55</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IF(Table1[[#This Row],[Age]]&lt;35,"Young People 0-35",IF(Table1[[#This Row],[Age]]&gt;54,"Senior Above 54","Middle Age 35-55"))</f>
        <v>Middle Age 35-55</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IF(Table1[[#This Row],[Age]]&lt;35,"Young People 0-35",IF(Table1[[#This Row],[Age]]&gt;54,"Senior Above 54","Middle Age 35-55"))</f>
        <v>Senior Above 54</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IF(Table1[[#This Row],[Age]]&lt;35,"Young People 0-35",IF(Table1[[#This Row],[Age]]&gt;54,"Senior Above 54","Middle Age 35-55"))</f>
        <v>Senior Above 54</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IF(Table1[[#This Row],[Age]]&lt;35,"Young People 0-35",IF(Table1[[#This Row],[Age]]&gt;54,"Senior Above 54","Middle Age 35-55"))</f>
        <v>Middle Age 35-55</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IF(Table1[[#This Row],[Age]]&lt;35,"Young People 0-35",IF(Table1[[#This Row],[Age]]&gt;54,"Senior Above 54","Middle Age 35-55"))</f>
        <v>Middle Age 35-55</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IF(Table1[[#This Row],[Age]]&lt;35,"Young People 0-35",IF(Table1[[#This Row],[Age]]&gt;54,"Senior Above 54","Middle Age 35-55"))</f>
        <v>Young People 0-35</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IF(Table1[[#This Row],[Age]]&lt;35,"Young People 0-35",IF(Table1[[#This Row],[Age]]&gt;54,"Senior Above 54","Middle Age 35-55"))</f>
        <v>Senior Above 54</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IF(Table1[[#This Row],[Age]]&lt;35,"Young People 0-35",IF(Table1[[#This Row],[Age]]&gt;54,"Senior Above 54","Middle Age 35-55"))</f>
        <v>Young People 0-35</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IF(Table1[[#This Row],[Age]]&lt;35,"Young People 0-35",IF(Table1[[#This Row],[Age]]&gt;54,"Senior Above 54","Middle Age 35-55"))</f>
        <v>Young People 0-35</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IF(Table1[[#This Row],[Age]]&lt;35,"Young People 0-35",IF(Table1[[#This Row],[Age]]&gt;54,"Senior Above 54","Middle Age 35-55"))</f>
        <v>Middle Age 35-55</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IF(Table1[[#This Row],[Age]]&lt;35,"Young People 0-35",IF(Table1[[#This Row],[Age]]&gt;54,"Senior Above 54","Middle Age 35-55"))</f>
        <v>Senior Above 54</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IF(Table1[[#This Row],[Age]]&lt;35,"Young People 0-35",IF(Table1[[#This Row],[Age]]&gt;54,"Senior Above 54","Middle Age 35-55"))</f>
        <v>Senior Above 54</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IF(Table1[[#This Row],[Age]]&lt;35,"Young People 0-35",IF(Table1[[#This Row],[Age]]&gt;54,"Senior Above 54","Middle Age 35-55"))</f>
        <v>Middle Age 35-55</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IF(Table1[[#This Row],[Age]]&lt;35,"Young People 0-35",IF(Table1[[#This Row],[Age]]&gt;54,"Senior Above 54","Middle Age 35-55"))</f>
        <v>Middle Age 35-55</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IF(Table1[[#This Row],[Age]]&lt;35,"Young People 0-35",IF(Table1[[#This Row],[Age]]&gt;54,"Senior Above 54","Middle Age 35-55"))</f>
        <v>Middle Age 35-55</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IF(Table1[[#This Row],[Age]]&lt;35,"Young People 0-35",IF(Table1[[#This Row],[Age]]&gt;54,"Senior Above 54","Middle Age 35-55"))</f>
        <v>Middle Age 35-55</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IF(Table1[[#This Row],[Age]]&lt;35,"Young People 0-35",IF(Table1[[#This Row],[Age]]&gt;54,"Senior Above 54","Middle Age 35-55"))</f>
        <v>Middle Age 35-55</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IF(Table1[[#This Row],[Age]]&lt;35,"Young People 0-35",IF(Table1[[#This Row],[Age]]&gt;54,"Senior Above 54","Middle Age 35-55"))</f>
        <v>Middle Age 35-55</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IF(Table1[[#This Row],[Age]]&lt;35,"Young People 0-35",IF(Table1[[#This Row],[Age]]&gt;54,"Senior Above 54","Middle Age 35-55"))</f>
        <v>Young People 0-35</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IF(Table1[[#This Row],[Age]]&lt;35,"Young People 0-35",IF(Table1[[#This Row],[Age]]&gt;54,"Senior Above 54","Middle Age 35-55"))</f>
        <v>Young People 0-35</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IF(Table1[[#This Row],[Age]]&lt;35,"Young People 0-35",IF(Table1[[#This Row],[Age]]&gt;54,"Senior Above 54","Middle Age 35-55"))</f>
        <v>Middle Age 35-55</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IF(Table1[[#This Row],[Age]]&lt;35,"Young People 0-35",IF(Table1[[#This Row],[Age]]&gt;54,"Senior Above 54","Middle Age 35-55"))</f>
        <v>Middle Age 35-55</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IF(Table1[[#This Row],[Age]]&lt;35,"Young People 0-35",IF(Table1[[#This Row],[Age]]&gt;54,"Senior Above 54","Middle Age 35-55"))</f>
        <v>Young People 0-35</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IF(Table1[[#This Row],[Age]]&lt;35,"Young People 0-35",IF(Table1[[#This Row],[Age]]&gt;54,"Senior Above 54","Middle Age 35-55"))</f>
        <v>Middle Age 35-55</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IF(Table1[[#This Row],[Age]]&lt;35,"Young People 0-35",IF(Table1[[#This Row],[Age]]&gt;54,"Senior Above 54","Middle Age 35-55"))</f>
        <v>Senior Above 54</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IF(Table1[[#This Row],[Age]]&lt;35,"Young People 0-35",IF(Table1[[#This Row],[Age]]&gt;54,"Senior Above 54","Middle Age 35-55"))</f>
        <v>Middle Age 35-55</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IF(Table1[[#This Row],[Age]]&lt;35,"Young People 0-35",IF(Table1[[#This Row],[Age]]&gt;54,"Senior Above 54","Middle Age 35-55"))</f>
        <v>Middle Age 35-55</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IF(Table1[[#This Row],[Age]]&lt;35,"Young People 0-35",IF(Table1[[#This Row],[Age]]&gt;54,"Senior Above 54","Middle Age 35-55"))</f>
        <v>Middle Age 35-55</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IF(Table1[[#This Row],[Age]]&lt;35,"Young People 0-35",IF(Table1[[#This Row],[Age]]&gt;54,"Senior Above 54","Middle Age 35-55"))</f>
        <v>Senior Above 54</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IF(Table1[[#This Row],[Age]]&lt;35,"Young People 0-35",IF(Table1[[#This Row],[Age]]&gt;54,"Senior Above 54","Middle Age 35-55"))</f>
        <v>Middle Age 35-55</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IF(Table1[[#This Row],[Age]]&lt;35,"Young People 0-35",IF(Table1[[#This Row],[Age]]&gt;54,"Senior Above 54","Middle Age 35-55"))</f>
        <v>Senior Above 54</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IF(Table1[[#This Row],[Age]]&lt;35,"Young People 0-35",IF(Table1[[#This Row],[Age]]&gt;54,"Senior Above 54","Middle Age 35-55"))</f>
        <v>Middle Age 35-55</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IF(Table1[[#This Row],[Age]]&lt;35,"Young People 0-35",IF(Table1[[#This Row],[Age]]&gt;54,"Senior Above 54","Middle Age 35-55"))</f>
        <v>Middle Age 35-55</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IF(Table1[[#This Row],[Age]]&lt;35,"Young People 0-35",IF(Table1[[#This Row],[Age]]&gt;54,"Senior Above 54","Middle Age 35-55"))</f>
        <v>Middle Age 35-55</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IF(Table1[[#This Row],[Age]]&lt;35,"Young People 0-35",IF(Table1[[#This Row],[Age]]&gt;54,"Senior Above 54","Middle Age 35-55"))</f>
        <v>Young People 0-35</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IF(Table1[[#This Row],[Age]]&lt;35,"Young People 0-35",IF(Table1[[#This Row],[Age]]&gt;54,"Senior Above 54","Middle Age 35-55"))</f>
        <v>Middle Age 35-55</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IF(Table1[[#This Row],[Age]]&lt;35,"Young People 0-35",IF(Table1[[#This Row],[Age]]&gt;54,"Senior Above 54","Middle Age 35-55"))</f>
        <v>Senior Above 54</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IF(Table1[[#This Row],[Age]]&lt;35,"Young People 0-35",IF(Table1[[#This Row],[Age]]&gt;54,"Senior Above 54","Middle Age 35-55"))</f>
        <v>Middle Age 35-55</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IF(Table1[[#This Row],[Age]]&lt;35,"Young People 0-35",IF(Table1[[#This Row],[Age]]&gt;54,"Senior Above 54","Middle Age 35-55"))</f>
        <v>Middle Age 35-55</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IF(Table1[[#This Row],[Age]]&lt;35,"Young People 0-35",IF(Table1[[#This Row],[Age]]&gt;54,"Senior Above 54","Middle Age 35-55"))</f>
        <v>Young People 0-35</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IF(Table1[[#This Row],[Age]]&lt;35,"Young People 0-35",IF(Table1[[#This Row],[Age]]&gt;54,"Senior Above 54","Middle Age 35-55"))</f>
        <v>Young People 0-35</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IF(Table1[[#This Row],[Age]]&lt;35,"Young People 0-35",IF(Table1[[#This Row],[Age]]&gt;54,"Senior Above 54","Middle Age 35-55"))</f>
        <v>Young People 0-35</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IF(Table1[[#This Row],[Age]]&lt;35,"Young People 0-35",IF(Table1[[#This Row],[Age]]&gt;54,"Senior Above 54","Middle Age 35-55"))</f>
        <v>Middle Age 35-55</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IF(Table1[[#This Row],[Age]]&lt;35,"Young People 0-35",IF(Table1[[#This Row],[Age]]&gt;54,"Senior Above 54","Middle Age 35-55"))</f>
        <v>Senior Above 54</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IF(Table1[[#This Row],[Age]]&lt;35,"Young People 0-35",IF(Table1[[#This Row],[Age]]&gt;54,"Senior Above 54","Middle Age 35-55"))</f>
        <v>Middle Age 35-55</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IF(Table1[[#This Row],[Age]]&lt;35,"Young People 0-35",IF(Table1[[#This Row],[Age]]&gt;54,"Senior Above 54","Middle Age 35-55"))</f>
        <v>Middle Age 35-55</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IF(Table1[[#This Row],[Age]]&lt;35,"Young People 0-35",IF(Table1[[#This Row],[Age]]&gt;54,"Senior Above 54","Middle Age 35-55"))</f>
        <v>Senior Above 54</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IF(Table1[[#This Row],[Age]]&lt;35,"Young People 0-35",IF(Table1[[#This Row],[Age]]&gt;54,"Senior Above 54","Middle Age 35-55"))</f>
        <v>Middle Age 35-55</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IF(Table1[[#This Row],[Age]]&lt;35,"Young People 0-35",IF(Table1[[#This Row],[Age]]&gt;54,"Senior Above 54","Middle Age 35-55"))</f>
        <v>Senior Above 54</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IF(Table1[[#This Row],[Age]]&lt;35,"Young People 0-35",IF(Table1[[#This Row],[Age]]&gt;54,"Senior Above 54","Middle Age 35-55"))</f>
        <v>Young People 0-35</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IF(Table1[[#This Row],[Age]]&lt;35,"Young People 0-35",IF(Table1[[#This Row],[Age]]&gt;54,"Senior Above 54","Middle Age 35-55"))</f>
        <v>Senior Above 54</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IF(Table1[[#This Row],[Age]]&lt;35,"Young People 0-35",IF(Table1[[#This Row],[Age]]&gt;54,"Senior Above 54","Middle Age 35-55"))</f>
        <v>Young People 0-35</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IF(Table1[[#This Row],[Age]]&lt;35,"Young People 0-35",IF(Table1[[#This Row],[Age]]&gt;54,"Senior Above 54","Middle Age 35-55"))</f>
        <v>Senior Above 54</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IF(Table1[[#This Row],[Age]]&lt;35,"Young People 0-35",IF(Table1[[#This Row],[Age]]&gt;54,"Senior Above 54","Middle Age 35-55"))</f>
        <v>Young People 0-35</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IF(Table1[[#This Row],[Age]]&lt;35,"Young People 0-35",IF(Table1[[#This Row],[Age]]&gt;54,"Senior Above 54","Middle Age 35-55"))</f>
        <v>Middle Age 35-55</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IF(Table1[[#This Row],[Age]]&lt;35,"Young People 0-35",IF(Table1[[#This Row],[Age]]&gt;54,"Senior Above 54","Middle Age 35-55"))</f>
        <v>Senior Above 54</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IF(Table1[[#This Row],[Age]]&lt;35,"Young People 0-35",IF(Table1[[#This Row],[Age]]&gt;54,"Senior Above 54","Middle Age 35-55"))</f>
        <v>Young People 0-35</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IF(Table1[[#This Row],[Age]]&lt;35,"Young People 0-35",IF(Table1[[#This Row],[Age]]&gt;54,"Senior Above 54","Middle Age 35-55"))</f>
        <v>Senior Above 54</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IF(Table1[[#This Row],[Age]]&lt;35,"Young People 0-35",IF(Table1[[#This Row],[Age]]&gt;54,"Senior Above 54","Middle Age 35-55"))</f>
        <v>Young People 0-35</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IF(Table1[[#This Row],[Age]]&lt;35,"Young People 0-35",IF(Table1[[#This Row],[Age]]&gt;54,"Senior Above 54","Middle Age 35-55"))</f>
        <v>Middle Age 35-55</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IF(Table1[[#This Row],[Age]]&lt;35,"Young People 0-35",IF(Table1[[#This Row],[Age]]&gt;54,"Senior Above 54","Middle Age 35-55"))</f>
        <v>Senior Above 54</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IF(Table1[[#This Row],[Age]]&lt;35,"Young People 0-35",IF(Table1[[#This Row],[Age]]&gt;54,"Senior Above 54","Middle Age 35-55"))</f>
        <v>Middle Age 35-55</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IF(Table1[[#This Row],[Age]]&lt;35,"Young People 0-35",IF(Table1[[#This Row],[Age]]&gt;54,"Senior Above 54","Middle Age 35-55"))</f>
        <v>Middle Age 35-55</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IF(Table1[[#This Row],[Age]]&lt;35,"Young People 0-35",IF(Table1[[#This Row],[Age]]&gt;54,"Senior Above 54","Middle Age 35-55"))</f>
        <v>Middle Age 35-55</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IF(Table1[[#This Row],[Age]]&lt;35,"Young People 0-35",IF(Table1[[#This Row],[Age]]&gt;54,"Senior Above 54","Middle Age 35-55"))</f>
        <v>Middle Age 35-55</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IF(Table1[[#This Row],[Age]]&lt;35,"Young People 0-35",IF(Table1[[#This Row],[Age]]&gt;54,"Senior Above 54","Middle Age 35-55"))</f>
        <v>Middle Age 35-55</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IF(Table1[[#This Row],[Age]]&lt;35,"Young People 0-35",IF(Table1[[#This Row],[Age]]&gt;54,"Senior Above 54","Middle Age 35-55"))</f>
        <v>Senior Above 54</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IF(Table1[[#This Row],[Age]]&lt;35,"Young People 0-35",IF(Table1[[#This Row],[Age]]&gt;54,"Senior Above 54","Middle Age 35-55"))</f>
        <v>Middle Age 35-55</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IF(Table1[[#This Row],[Age]]&lt;35,"Young People 0-35",IF(Table1[[#This Row],[Age]]&gt;54,"Senior Above 54","Middle Age 35-55"))</f>
        <v>Senior Above 54</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IF(Table1[[#This Row],[Age]]&lt;35,"Young People 0-35",IF(Table1[[#This Row],[Age]]&gt;54,"Senior Above 54","Middle Age 35-55"))</f>
        <v>Middle Age 35-55</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IF(Table1[[#This Row],[Age]]&lt;35,"Young People 0-35",IF(Table1[[#This Row],[Age]]&gt;54,"Senior Above 54","Middle Age 35-55"))</f>
        <v>Middle Age 35-55</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IF(Table1[[#This Row],[Age]]&lt;35,"Young People 0-35",IF(Table1[[#This Row],[Age]]&gt;54,"Senior Above 54","Middle Age 35-55"))</f>
        <v>Senior Above 54</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IF(Table1[[#This Row],[Age]]&lt;35,"Young People 0-35",IF(Table1[[#This Row],[Age]]&gt;54,"Senior Above 54","Middle Age 35-55"))</f>
        <v>Senior Above 54</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IF(Table1[[#This Row],[Age]]&lt;35,"Young People 0-35",IF(Table1[[#This Row],[Age]]&gt;54,"Senior Above 54","Middle Age 35-55"))</f>
        <v>Middle Age 35-55</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IF(Table1[[#This Row],[Age]]&lt;35,"Young People 0-35",IF(Table1[[#This Row],[Age]]&gt;54,"Senior Above 54","Middle Age 35-55"))</f>
        <v>Senior Above 54</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IF(Table1[[#This Row],[Age]]&lt;35,"Young People 0-35",IF(Table1[[#This Row],[Age]]&gt;54,"Senior Above 54","Middle Age 35-55"))</f>
        <v>Middle Age 35-55</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IF(Table1[[#This Row],[Age]]&lt;35,"Young People 0-35",IF(Table1[[#This Row],[Age]]&gt;54,"Senior Above 54","Middle Age 35-55"))</f>
        <v>Senior Above 54</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IF(Table1[[#This Row],[Age]]&lt;35,"Young People 0-35",IF(Table1[[#This Row],[Age]]&gt;54,"Senior Above 54","Middle Age 35-55"))</f>
        <v>Middle Age 35-55</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IF(Table1[[#This Row],[Age]]&lt;35,"Young People 0-35",IF(Table1[[#This Row],[Age]]&gt;54,"Senior Above 54","Middle Age 35-55"))</f>
        <v>Middle Age 35-55</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IF(Table1[[#This Row],[Age]]&lt;35,"Young People 0-35",IF(Table1[[#This Row],[Age]]&gt;54,"Senior Above 54","Middle Age 35-55"))</f>
        <v>Middle Age 35-55</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IF(Table1[[#This Row],[Age]]&lt;35,"Young People 0-35",IF(Table1[[#This Row],[Age]]&gt;54,"Senior Above 54","Middle Age 35-55"))</f>
        <v>Middle Age 35-55</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IF(Table1[[#This Row],[Age]]&lt;35,"Young People 0-35",IF(Table1[[#This Row],[Age]]&gt;54,"Senior Above 54","Middle Age 35-55"))</f>
        <v>Young People 0-35</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IF(Table1[[#This Row],[Age]]&lt;35,"Young People 0-35",IF(Table1[[#This Row],[Age]]&gt;54,"Senior Above 54","Middle Age 35-55"))</f>
        <v>Middle Age 35-55</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IF(Table1[[#This Row],[Age]]&lt;35,"Young People 0-35",IF(Table1[[#This Row],[Age]]&gt;54,"Senior Above 54","Middle Age 35-55"))</f>
        <v>Middle Age 35-55</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IF(Table1[[#This Row],[Age]]&lt;35,"Young People 0-35",IF(Table1[[#This Row],[Age]]&gt;54,"Senior Above 54","Middle Age 35-55"))</f>
        <v>Middle Age 35-55</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IF(Table1[[#This Row],[Age]]&lt;35,"Young People 0-35",IF(Table1[[#This Row],[Age]]&gt;54,"Senior Above 54","Middle Age 35-55"))</f>
        <v>Middle Age 35-55</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IF(Table1[[#This Row],[Age]]&lt;35,"Young People 0-35",IF(Table1[[#This Row],[Age]]&gt;54,"Senior Above 54","Middle Age 35-55"))</f>
        <v>Middle Age 35-55</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IF(Table1[[#This Row],[Age]]&lt;35,"Young People 0-35",IF(Table1[[#This Row],[Age]]&gt;54,"Senior Above 54","Middle Age 35-55"))</f>
        <v>Middle Age 35-55</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IF(Table1[[#This Row],[Age]]&lt;35,"Young People 0-35",IF(Table1[[#This Row],[Age]]&gt;54,"Senior Above 54","Middle Age 35-55"))</f>
        <v>Young People 0-35</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IF(Table1[[#This Row],[Age]]&lt;35,"Young People 0-35",IF(Table1[[#This Row],[Age]]&gt;54,"Senior Above 54","Middle Age 35-55"))</f>
        <v>Young People 0-35</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IF(Table1[[#This Row],[Age]]&lt;35,"Young People 0-35",IF(Table1[[#This Row],[Age]]&gt;54,"Senior Above 54","Middle Age 35-55"))</f>
        <v>Middle Age 35-55</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IF(Table1[[#This Row],[Age]]&lt;35,"Young People 0-35",IF(Table1[[#This Row],[Age]]&gt;54,"Senior Above 54","Middle Age 35-55"))</f>
        <v>Middle Age 35-55</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IF(Table1[[#This Row],[Age]]&lt;35,"Young People 0-35",IF(Table1[[#This Row],[Age]]&gt;54,"Senior Above 54","Middle Age 35-55"))</f>
        <v>Middle Age 35-55</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IF(Table1[[#This Row],[Age]]&lt;35,"Young People 0-35",IF(Table1[[#This Row],[Age]]&gt;54,"Senior Above 54","Middle Age 35-55"))</f>
        <v>Middle Age 35-55</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IF(Table1[[#This Row],[Age]]&lt;35,"Young People 0-35",IF(Table1[[#This Row],[Age]]&gt;54,"Senior Above 54","Middle Age 35-55"))</f>
        <v>Middle Age 35-55</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IF(Table1[[#This Row],[Age]]&lt;35,"Young People 0-35",IF(Table1[[#This Row],[Age]]&gt;54,"Senior Above 54","Middle Age 35-55"))</f>
        <v>Middle Age 35-55</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IF(Table1[[#This Row],[Age]]&lt;35,"Young People 0-35",IF(Table1[[#This Row],[Age]]&gt;54,"Senior Above 54","Middle Age 35-55"))</f>
        <v>Young People 0-35</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IF(Table1[[#This Row],[Age]]&lt;35,"Young People 0-35",IF(Table1[[#This Row],[Age]]&gt;54,"Senior Above 54","Middle Age 35-55"))</f>
        <v>Middle Age 35-55</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IF(Table1[[#This Row],[Age]]&lt;35,"Young People 0-35",IF(Table1[[#This Row],[Age]]&gt;54,"Senior Above 54","Middle Age 35-55"))</f>
        <v>Senior Above 54</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IF(Table1[[#This Row],[Age]]&lt;35,"Young People 0-35",IF(Table1[[#This Row],[Age]]&gt;54,"Senior Above 54","Middle Age 35-55"))</f>
        <v>Middle Age 35-55</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IF(Table1[[#This Row],[Age]]&lt;35,"Young People 0-35",IF(Table1[[#This Row],[Age]]&gt;54,"Senior Above 54","Middle Age 35-55"))</f>
        <v>Senior Above 54</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IF(Table1[[#This Row],[Age]]&lt;35,"Young People 0-35",IF(Table1[[#This Row],[Age]]&gt;54,"Senior Above 54","Middle Age 35-55"))</f>
        <v>Young People 0-35</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IF(Table1[[#This Row],[Age]]&lt;35,"Young People 0-35",IF(Table1[[#This Row],[Age]]&gt;54,"Senior Above 54","Middle Age 35-55"))</f>
        <v>Senior Above 54</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IF(Table1[[#This Row],[Age]]&lt;35,"Young People 0-35",IF(Table1[[#This Row],[Age]]&gt;54,"Senior Above 54","Middle Age 35-55"))</f>
        <v>Young People 0-35</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IF(Table1[[#This Row],[Age]]&lt;35,"Young People 0-35",IF(Table1[[#This Row],[Age]]&gt;54,"Senior Above 54","Middle Age 35-55"))</f>
        <v>Senior Above 54</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IF(Table1[[#This Row],[Age]]&lt;35,"Young People 0-35",IF(Table1[[#This Row],[Age]]&gt;54,"Senior Above 54","Middle Age 35-55"))</f>
        <v>Middle Age 35-55</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IF(Table1[[#This Row],[Age]]&lt;35,"Young People 0-35",IF(Table1[[#This Row],[Age]]&gt;54,"Senior Above 54","Middle Age 35-55"))</f>
        <v>Middle Age 35-55</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IF(Table1[[#This Row],[Age]]&lt;35,"Young People 0-35",IF(Table1[[#This Row],[Age]]&gt;54,"Senior Above 54","Middle Age 35-55"))</f>
        <v>Young People 0-35</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IF(Table1[[#This Row],[Age]]&lt;35,"Young People 0-35",IF(Table1[[#This Row],[Age]]&gt;54,"Senior Above 54","Middle Age 35-55"))</f>
        <v>Middle Age 35-55</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IF(Table1[[#This Row],[Age]]&lt;35,"Young People 0-35",IF(Table1[[#This Row],[Age]]&gt;54,"Senior Above 54","Middle Age 35-55"))</f>
        <v>Middle Age 35-55</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IF(Table1[[#This Row],[Age]]&lt;35,"Young People 0-35",IF(Table1[[#This Row],[Age]]&gt;54,"Senior Above 54","Middle Age 35-55"))</f>
        <v>Middle Age 35-55</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IF(Table1[[#This Row],[Age]]&lt;35,"Young People 0-35",IF(Table1[[#This Row],[Age]]&gt;54,"Senior Above 54","Middle Age 35-55"))</f>
        <v>Senior Above 54</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IF(Table1[[#This Row],[Age]]&lt;35,"Young People 0-35",IF(Table1[[#This Row],[Age]]&gt;54,"Senior Above 54","Middle Age 35-55"))</f>
        <v>Middle Age 35-55</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IF(Table1[[#This Row],[Age]]&lt;35,"Young People 0-35",IF(Table1[[#This Row],[Age]]&gt;54,"Senior Above 54","Middle Age 35-55"))</f>
        <v>Middle Age 35-55</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IF(Table1[[#This Row],[Age]]&lt;35,"Young People 0-35",IF(Table1[[#This Row],[Age]]&gt;54,"Senior Above 54","Middle Age 35-55"))</f>
        <v>Young People 0-35</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IF(Table1[[#This Row],[Age]]&lt;35,"Young People 0-35",IF(Table1[[#This Row],[Age]]&gt;54,"Senior Above 54","Middle Age 35-55"))</f>
        <v>Senior Above 54</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IF(Table1[[#This Row],[Age]]&lt;35,"Young People 0-35",IF(Table1[[#This Row],[Age]]&gt;54,"Senior Above 54","Middle Age 35-55"))</f>
        <v>Senior Above 54</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IF(Table1[[#This Row],[Age]]&lt;35,"Young People 0-35",IF(Table1[[#This Row],[Age]]&gt;54,"Senior Above 54","Middle Age 35-55"))</f>
        <v>Senior Above 54</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IF(Table1[[#This Row],[Age]]&lt;35,"Young People 0-35",IF(Table1[[#This Row],[Age]]&gt;54,"Senior Above 54","Middle Age 35-55"))</f>
        <v>Senior Above 54</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IF(Table1[[#This Row],[Age]]&lt;35,"Young People 0-35",IF(Table1[[#This Row],[Age]]&gt;54,"Senior Above 54","Middle Age 35-55"))</f>
        <v>Middle Age 35-55</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IF(Table1[[#This Row],[Age]]&lt;35,"Young People 0-35",IF(Table1[[#This Row],[Age]]&gt;54,"Senior Above 54","Middle Age 35-55"))</f>
        <v>Middle Age 35-55</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IF(Table1[[#This Row],[Age]]&lt;35,"Young People 0-35",IF(Table1[[#This Row],[Age]]&gt;54,"Senior Above 54","Middle Age 35-55"))</f>
        <v>Middle Age 35-55</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IF(Table1[[#This Row],[Age]]&lt;35,"Young People 0-35",IF(Table1[[#This Row],[Age]]&gt;54,"Senior Above 54","Middle Age 35-55"))</f>
        <v>Middle Age 35-55</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IF(Table1[[#This Row],[Age]]&lt;35,"Young People 0-35",IF(Table1[[#This Row],[Age]]&gt;54,"Senior Above 54","Middle Age 35-55"))</f>
        <v>Middle Age 35-55</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IF(Table1[[#This Row],[Age]]&lt;35,"Young People 0-35",IF(Table1[[#This Row],[Age]]&gt;54,"Senior Above 54","Middle Age 35-55"))</f>
        <v>Young People 0-35</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IF(Table1[[#This Row],[Age]]&lt;35,"Young People 0-35",IF(Table1[[#This Row],[Age]]&gt;54,"Senior Above 54","Middle Age 35-55"))</f>
        <v>Senior Above 54</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IF(Table1[[#This Row],[Age]]&lt;35,"Young People 0-35",IF(Table1[[#This Row],[Age]]&gt;54,"Senior Above 54","Middle Age 35-55"))</f>
        <v>Middle Age 35-55</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IF(Table1[[#This Row],[Age]]&lt;35,"Young People 0-35",IF(Table1[[#This Row],[Age]]&gt;54,"Senior Above 54","Middle Age 35-55"))</f>
        <v>Senior Above 54</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IF(Table1[[#This Row],[Age]]&lt;35,"Young People 0-35",IF(Table1[[#This Row],[Age]]&gt;54,"Senior Above 54","Middle Age 35-55"))</f>
        <v>Young People 0-35</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IF(Table1[[#This Row],[Age]]&lt;35,"Young People 0-35",IF(Table1[[#This Row],[Age]]&gt;54,"Senior Above 54","Middle Age 35-55"))</f>
        <v>Middle Age 35-55</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IF(Table1[[#This Row],[Age]]&lt;35,"Young People 0-35",IF(Table1[[#This Row],[Age]]&gt;54,"Senior Above 54","Middle Age 35-55"))</f>
        <v>Young People 0-35</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IF(Table1[[#This Row],[Age]]&lt;35,"Young People 0-35",IF(Table1[[#This Row],[Age]]&gt;54,"Senior Above 54","Middle Age 35-55"))</f>
        <v>Young People 0-35</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IF(Table1[[#This Row],[Age]]&lt;35,"Young People 0-35",IF(Table1[[#This Row],[Age]]&gt;54,"Senior Above 54","Middle Age 35-55"))</f>
        <v>Young People 0-35</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IF(Table1[[#This Row],[Age]]&lt;35,"Young People 0-35",IF(Table1[[#This Row],[Age]]&gt;54,"Senior Above 54","Middle Age 35-55"))</f>
        <v>Middle Age 35-55</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IF(Table1[[#This Row],[Age]]&lt;35,"Young People 0-35",IF(Table1[[#This Row],[Age]]&gt;54,"Senior Above 54","Middle Age 35-55"))</f>
        <v>Middle Age 35-55</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IF(Table1[[#This Row],[Age]]&lt;35,"Young People 0-35",IF(Table1[[#This Row],[Age]]&gt;54,"Senior Above 54","Middle Age 35-55"))</f>
        <v>Middle Age 35-55</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IF(Table1[[#This Row],[Age]]&lt;35,"Young People 0-35",IF(Table1[[#This Row],[Age]]&gt;54,"Senior Above 54","Middle Age 35-55"))</f>
        <v>Senior Above 54</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IF(Table1[[#This Row],[Age]]&lt;35,"Young People 0-35",IF(Table1[[#This Row],[Age]]&gt;54,"Senior Above 54","Middle Age 35-55"))</f>
        <v>Middle Age 35-55</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IF(Table1[[#This Row],[Age]]&lt;35,"Young People 0-35",IF(Table1[[#This Row],[Age]]&gt;54,"Senior Above 54","Middle Age 35-55"))</f>
        <v>Young People 0-35</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IF(Table1[[#This Row],[Age]]&lt;35,"Young People 0-35",IF(Table1[[#This Row],[Age]]&gt;54,"Senior Above 54","Middle Age 35-55"))</f>
        <v>Middle Age 35-55</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IF(Table1[[#This Row],[Age]]&lt;35,"Young People 0-35",IF(Table1[[#This Row],[Age]]&gt;54,"Senior Above 54","Middle Age 35-55"))</f>
        <v>Middle Age 35-55</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IF(Table1[[#This Row],[Age]]&lt;35,"Young People 0-35",IF(Table1[[#This Row],[Age]]&gt;54,"Senior Above 54","Middle Age 35-55"))</f>
        <v>Middle Age 35-55</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IF(Table1[[#This Row],[Age]]&lt;35,"Young People 0-35",IF(Table1[[#This Row],[Age]]&gt;54,"Senior Above 54","Middle Age 35-55"))</f>
        <v>Middle Age 35-55</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IF(Table1[[#This Row],[Age]]&lt;35,"Young People 0-35",IF(Table1[[#This Row],[Age]]&gt;54,"Senior Above 54","Middle Age 35-55"))</f>
        <v>Middle Age 35-55</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IF(Table1[[#This Row],[Age]]&lt;35,"Young People 0-35",IF(Table1[[#This Row],[Age]]&gt;54,"Senior Above 54","Middle Age 35-55"))</f>
        <v>Senior Above 54</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IF(Table1[[#This Row],[Age]]&lt;35,"Young People 0-35",IF(Table1[[#This Row],[Age]]&gt;54,"Senior Above 54","Middle Age 35-55"))</f>
        <v>Middle Age 35-55</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IF(Table1[[#This Row],[Age]]&lt;35,"Young People 0-35",IF(Table1[[#This Row],[Age]]&gt;54,"Senior Above 54","Middle Age 35-55"))</f>
        <v>Middle Age 35-55</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IF(Table1[[#This Row],[Age]]&lt;35,"Young People 0-35",IF(Table1[[#This Row],[Age]]&gt;54,"Senior Above 54","Middle Age 35-55"))</f>
        <v>Senior Above 54</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IF(Table1[[#This Row],[Age]]&lt;35,"Young People 0-35",IF(Table1[[#This Row],[Age]]&gt;54,"Senior Above 54","Middle Age 35-55"))</f>
        <v>Middle Age 35-55</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IF(Table1[[#This Row],[Age]]&lt;35,"Young People 0-35",IF(Table1[[#This Row],[Age]]&gt;54,"Senior Above 54","Middle Age 35-55"))</f>
        <v>Young People 0-35</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IF(Table1[[#This Row],[Age]]&lt;35,"Young People 0-35",IF(Table1[[#This Row],[Age]]&gt;54,"Senior Above 54","Middle Age 35-55"))</f>
        <v>Middle Age 35-55</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IF(Table1[[#This Row],[Age]]&lt;35,"Young People 0-35",IF(Table1[[#This Row],[Age]]&gt;54,"Senior Above 54","Middle Age 35-55"))</f>
        <v>Middle Age 35-55</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IF(Table1[[#This Row],[Age]]&lt;35,"Young People 0-35",IF(Table1[[#This Row],[Age]]&gt;54,"Senior Above 54","Middle Age 35-55"))</f>
        <v>Middle Age 35-55</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IF(Table1[[#This Row],[Age]]&lt;35,"Young People 0-35",IF(Table1[[#This Row],[Age]]&gt;54,"Senior Above 54","Middle Age 35-55"))</f>
        <v>Middle Age 35-55</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IF(Table1[[#This Row],[Age]]&lt;35,"Young People 0-35",IF(Table1[[#This Row],[Age]]&gt;54,"Senior Above 54","Middle Age 35-55"))</f>
        <v>Middle Age 35-55</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IF(Table1[[#This Row],[Age]]&lt;35,"Young People 0-35",IF(Table1[[#This Row],[Age]]&gt;54,"Senior Above 54","Middle Age 35-55"))</f>
        <v>Senior Above 54</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IF(Table1[[#This Row],[Age]]&lt;35,"Young People 0-35",IF(Table1[[#This Row],[Age]]&gt;54,"Senior Above 54","Middle Age 35-55"))</f>
        <v>Senior Above 54</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IF(Table1[[#This Row],[Age]]&lt;35,"Young People 0-35",IF(Table1[[#This Row],[Age]]&gt;54,"Senior Above 54","Middle Age 35-55"))</f>
        <v>Young People 0-35</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IF(Table1[[#This Row],[Age]]&lt;35,"Young People 0-35",IF(Table1[[#This Row],[Age]]&gt;54,"Senior Above 54","Middle Age 35-55"))</f>
        <v>Middle Age 35-55</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IF(Table1[[#This Row],[Age]]&lt;35,"Young People 0-35",IF(Table1[[#This Row],[Age]]&gt;54,"Senior Above 54","Middle Age 35-55"))</f>
        <v>Middle Age 35-55</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IF(Table1[[#This Row],[Age]]&lt;35,"Young People 0-35",IF(Table1[[#This Row],[Age]]&gt;54,"Senior Above 54","Middle Age 35-55"))</f>
        <v>Middle Age 35-55</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IF(Table1[[#This Row],[Age]]&lt;35,"Young People 0-35",IF(Table1[[#This Row],[Age]]&gt;54,"Senior Above 54","Middle Age 35-55"))</f>
        <v>Middle Age 35-55</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IF(Table1[[#This Row],[Age]]&lt;35,"Young People 0-35",IF(Table1[[#This Row],[Age]]&gt;54,"Senior Above 54","Middle Age 35-55"))</f>
        <v>Middle Age 35-55</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IF(Table1[[#This Row],[Age]]&lt;35,"Young People 0-35",IF(Table1[[#This Row],[Age]]&gt;54,"Senior Above 54","Middle Age 35-55"))</f>
        <v>Middle Age 35-55</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IF(Table1[[#This Row],[Age]]&lt;35,"Young People 0-35",IF(Table1[[#This Row],[Age]]&gt;54,"Senior Above 54","Middle Age 35-55"))</f>
        <v>Young People 0-35</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IF(Table1[[#This Row],[Age]]&lt;35,"Young People 0-35",IF(Table1[[#This Row],[Age]]&gt;54,"Senior Above 54","Middle Age 35-55"))</f>
        <v>Young People 0-35</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IF(Table1[[#This Row],[Age]]&lt;35,"Young People 0-35",IF(Table1[[#This Row],[Age]]&gt;54,"Senior Above 54","Middle Age 35-55"))</f>
        <v>Young People 0-35</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IF(Table1[[#This Row],[Age]]&lt;35,"Young People 0-35",IF(Table1[[#This Row],[Age]]&gt;54,"Senior Above 54","Middle Age 35-55"))</f>
        <v>Middle Age 35-55</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IF(Table1[[#This Row],[Age]]&lt;35,"Young People 0-35",IF(Table1[[#This Row],[Age]]&gt;54,"Senior Above 54","Middle Age 35-55"))</f>
        <v>Young People 0-35</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IF(Table1[[#This Row],[Age]]&lt;35,"Young People 0-35",IF(Table1[[#This Row],[Age]]&gt;54,"Senior Above 54","Middle Age 35-55"))</f>
        <v>Middle Age 35-55</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IF(Table1[[#This Row],[Age]]&lt;35,"Young People 0-35",IF(Table1[[#This Row],[Age]]&gt;54,"Senior Above 54","Middle Age 35-55"))</f>
        <v>Middle Age 35-55</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IF(Table1[[#This Row],[Age]]&lt;35,"Young People 0-35",IF(Table1[[#This Row],[Age]]&gt;54,"Senior Above 54","Middle Age 35-55"))</f>
        <v>Middle Age 35-55</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IF(Table1[[#This Row],[Age]]&lt;35,"Young People 0-35",IF(Table1[[#This Row],[Age]]&gt;54,"Senior Above 54","Middle Age 35-55"))</f>
        <v>Middle Age 35-55</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IF(Table1[[#This Row],[Age]]&lt;35,"Young People 0-35",IF(Table1[[#This Row],[Age]]&gt;54,"Senior Above 54","Middle Age 35-55"))</f>
        <v>Young People 0-35</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IF(Table1[[#This Row],[Age]]&lt;35,"Young People 0-35",IF(Table1[[#This Row],[Age]]&gt;54,"Senior Above 54","Middle Age 35-55"))</f>
        <v>Young People 0-35</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IF(Table1[[#This Row],[Age]]&lt;35,"Young People 0-35",IF(Table1[[#This Row],[Age]]&gt;54,"Senior Above 54","Middle Age 35-55"))</f>
        <v>Middle Age 35-55</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IF(Table1[[#This Row],[Age]]&lt;35,"Young People 0-35",IF(Table1[[#This Row],[Age]]&gt;54,"Senior Above 54","Middle Age 35-55"))</f>
        <v>Middle Age 35-55</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IF(Table1[[#This Row],[Age]]&lt;35,"Young People 0-35",IF(Table1[[#This Row],[Age]]&gt;54,"Senior Above 54","Middle Age 35-55"))</f>
        <v>Senior Above 54</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IF(Table1[[#This Row],[Age]]&lt;35,"Young People 0-35",IF(Table1[[#This Row],[Age]]&gt;54,"Senior Above 54","Middle Age 35-55"))</f>
        <v>Young People 0-35</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IF(Table1[[#This Row],[Age]]&lt;35,"Young People 0-35",IF(Table1[[#This Row],[Age]]&gt;54,"Senior Above 54","Middle Age 35-55"))</f>
        <v>Middle Age 35-55</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IF(Table1[[#This Row],[Age]]&lt;35,"Young People 0-35",IF(Table1[[#This Row],[Age]]&gt;54,"Senior Above 54","Middle Age 35-55"))</f>
        <v>Young People 0-35</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IF(Table1[[#This Row],[Age]]&lt;35,"Young People 0-35",IF(Table1[[#This Row],[Age]]&gt;54,"Senior Above 54","Middle Age 35-55"))</f>
        <v>Middle Age 35-55</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IF(Table1[[#This Row],[Age]]&lt;35,"Young People 0-35",IF(Table1[[#This Row],[Age]]&gt;54,"Senior Above 54","Middle Age 35-55"))</f>
        <v>Senior Above 54</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IF(Table1[[#This Row],[Age]]&lt;35,"Young People 0-35",IF(Table1[[#This Row],[Age]]&gt;54,"Senior Above 54","Middle Age 35-55"))</f>
        <v>Young People 0-35</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IF(Table1[[#This Row],[Age]]&lt;35,"Young People 0-35",IF(Table1[[#This Row],[Age]]&gt;54,"Senior Above 54","Middle Age 35-55"))</f>
        <v>Middle Age 35-55</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IF(Table1[[#This Row],[Age]]&lt;35,"Young People 0-35",IF(Table1[[#This Row],[Age]]&gt;54,"Senior Above 54","Middle Age 35-55"))</f>
        <v>Senior Above 54</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IF(Table1[[#This Row],[Age]]&lt;35,"Young People 0-35",IF(Table1[[#This Row],[Age]]&gt;54,"Senior Above 54","Middle Age 35-55"))</f>
        <v>Senior Above 54</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IF(Table1[[#This Row],[Age]]&lt;35,"Young People 0-35",IF(Table1[[#This Row],[Age]]&gt;54,"Senior Above 54","Middle Age 35-55"))</f>
        <v>Young People 0-35</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IF(Table1[[#This Row],[Age]]&lt;35,"Young People 0-35",IF(Table1[[#This Row],[Age]]&gt;54,"Senior Above 54","Middle Age 35-55"))</f>
        <v>Senior Above 54</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IF(Table1[[#This Row],[Age]]&lt;35,"Young People 0-35",IF(Table1[[#This Row],[Age]]&gt;54,"Senior Above 54","Middle Age 35-55"))</f>
        <v>Senior Above 54</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IF(Table1[[#This Row],[Age]]&lt;35,"Young People 0-35",IF(Table1[[#This Row],[Age]]&gt;54,"Senior Above 54","Middle Age 35-55"))</f>
        <v>Middle Age 35-55</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IF(Table1[[#This Row],[Age]]&lt;35,"Young People 0-35",IF(Table1[[#This Row],[Age]]&gt;54,"Senior Above 54","Middle Age 35-55"))</f>
        <v>Young People 0-35</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IF(Table1[[#This Row],[Age]]&lt;35,"Young People 0-35",IF(Table1[[#This Row],[Age]]&gt;54,"Senior Above 54","Middle Age 35-55"))</f>
        <v>Middle Age 35-55</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IF(Table1[[#This Row],[Age]]&lt;35,"Young People 0-35",IF(Table1[[#This Row],[Age]]&gt;54,"Senior Above 54","Middle Age 35-55"))</f>
        <v>Middle Age 35-55</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IF(Table1[[#This Row],[Age]]&lt;35,"Young People 0-35",IF(Table1[[#This Row],[Age]]&gt;54,"Senior Above 54","Middle Age 35-55"))</f>
        <v>Middle Age 35-55</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IF(Table1[[#This Row],[Age]]&lt;35,"Young People 0-35",IF(Table1[[#This Row],[Age]]&gt;54,"Senior Above 54","Middle Age 35-55"))</f>
        <v>Middle Age 35-55</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IF(Table1[[#This Row],[Age]]&lt;35,"Young People 0-35",IF(Table1[[#This Row],[Age]]&gt;54,"Senior Above 54","Middle Age 35-55"))</f>
        <v>Middle Age 35-55</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IF(Table1[[#This Row],[Age]]&lt;35,"Young People 0-35",IF(Table1[[#This Row],[Age]]&gt;54,"Senior Above 54","Middle Age 35-55"))</f>
        <v>Senior Above 54</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IF(Table1[[#This Row],[Age]]&lt;35,"Young People 0-35",IF(Table1[[#This Row],[Age]]&gt;54,"Senior Above 54","Middle Age 35-55"))</f>
        <v>Middle Age 35-55</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IF(Table1[[#This Row],[Age]]&lt;35,"Young People 0-35",IF(Table1[[#This Row],[Age]]&gt;54,"Senior Above 54","Middle Age 35-55"))</f>
        <v>Middle Age 35-55</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IF(Table1[[#This Row],[Age]]&lt;35,"Young People 0-35",IF(Table1[[#This Row],[Age]]&gt;54,"Senior Above 54","Middle Age 35-55"))</f>
        <v>Middle Age 35-55</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IF(Table1[[#This Row],[Age]]&lt;35,"Young People 0-35",IF(Table1[[#This Row],[Age]]&gt;54,"Senior Above 54","Middle Age 35-55"))</f>
        <v>Middle Age 35-55</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IF(Table1[[#This Row],[Age]]&lt;35,"Young People 0-35",IF(Table1[[#This Row],[Age]]&gt;54,"Senior Above 54","Middle Age 35-55"))</f>
        <v>Middle Age 35-55</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IF(Table1[[#This Row],[Age]]&lt;35,"Young People 0-35",IF(Table1[[#This Row],[Age]]&gt;54,"Senior Above 54","Middle Age 35-55"))</f>
        <v>Middle Age 35-55</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IF(Table1[[#This Row],[Age]]&lt;35,"Young People 0-35",IF(Table1[[#This Row],[Age]]&gt;54,"Senior Above 54","Middle Age 35-55"))</f>
        <v>Middle Age 35-55</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IF(Table1[[#This Row],[Age]]&lt;35,"Young People 0-35",IF(Table1[[#This Row],[Age]]&gt;54,"Senior Above 54","Middle Age 35-55"))</f>
        <v>Young People 0-35</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IF(Table1[[#This Row],[Age]]&lt;35,"Young People 0-35",IF(Table1[[#This Row],[Age]]&gt;54,"Senior Above 54","Middle Age 35-55"))</f>
        <v>Middle Age 35-55</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IF(Table1[[#This Row],[Age]]&lt;35,"Young People 0-35",IF(Table1[[#This Row],[Age]]&gt;54,"Senior Above 54","Middle Age 35-55"))</f>
        <v>Middle Age 35-55</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IF(Table1[[#This Row],[Age]]&lt;35,"Young People 0-35",IF(Table1[[#This Row],[Age]]&gt;54,"Senior Above 54","Middle Age 35-55"))</f>
        <v>Middle Age 35-55</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IF(Table1[[#This Row],[Age]]&lt;35,"Young People 0-35",IF(Table1[[#This Row],[Age]]&gt;54,"Senior Above 54","Middle Age 35-55"))</f>
        <v>Middle Age 35-55</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IF(Table1[[#This Row],[Age]]&lt;35,"Young People 0-35",IF(Table1[[#This Row],[Age]]&gt;54,"Senior Above 54","Middle Age 35-55"))</f>
        <v>Middle Age 35-55</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IF(Table1[[#This Row],[Age]]&lt;35,"Young People 0-35",IF(Table1[[#This Row],[Age]]&gt;54,"Senior Above 54","Middle Age 35-55"))</f>
        <v>Middle Age 35-55</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IF(Table1[[#This Row],[Age]]&lt;35,"Young People 0-35",IF(Table1[[#This Row],[Age]]&gt;54,"Senior Above 54","Middle Age 35-55"))</f>
        <v>Young People 0-35</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IF(Table1[[#This Row],[Age]]&lt;35,"Young People 0-35",IF(Table1[[#This Row],[Age]]&gt;54,"Senior Above 54","Middle Age 35-55"))</f>
        <v>Young People 0-35</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IF(Table1[[#This Row],[Age]]&lt;35,"Young People 0-35",IF(Table1[[#This Row],[Age]]&gt;54,"Senior Above 54","Middle Age 35-55"))</f>
        <v>Middle Age 35-55</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IF(Table1[[#This Row],[Age]]&lt;35,"Young People 0-35",IF(Table1[[#This Row],[Age]]&gt;54,"Senior Above 54","Middle Age 35-55"))</f>
        <v>Middle Age 35-55</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IF(Table1[[#This Row],[Age]]&lt;35,"Young People 0-35",IF(Table1[[#This Row],[Age]]&gt;54,"Senior Above 54","Middle Age 35-55"))</f>
        <v>Senior Above 54</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IF(Table1[[#This Row],[Age]]&lt;35,"Young People 0-35",IF(Table1[[#This Row],[Age]]&gt;54,"Senior Above 54","Middle Age 35-55"))</f>
        <v>Young People 0-35</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IF(Table1[[#This Row],[Age]]&lt;35,"Young People 0-35",IF(Table1[[#This Row],[Age]]&gt;54,"Senior Above 54","Middle Age 35-55"))</f>
        <v>Middle Age 35-55</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IF(Table1[[#This Row],[Age]]&lt;35,"Young People 0-35",IF(Table1[[#This Row],[Age]]&gt;54,"Senior Above 54","Middle Age 35-55"))</f>
        <v>Young People 0-35</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IF(Table1[[#This Row],[Age]]&lt;35,"Young People 0-35",IF(Table1[[#This Row],[Age]]&gt;54,"Senior Above 54","Middle Age 35-55"))</f>
        <v>Middle Age 35-55</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IF(Table1[[#This Row],[Age]]&lt;35,"Young People 0-35",IF(Table1[[#This Row],[Age]]&gt;54,"Senior Above 54","Middle Age 35-55"))</f>
        <v>Senior Above 54</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IF(Table1[[#This Row],[Age]]&lt;35,"Young People 0-35",IF(Table1[[#This Row],[Age]]&gt;54,"Senior Above 54","Middle Age 35-55"))</f>
        <v>Middle Age 35-55</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IF(Table1[[#This Row],[Age]]&lt;35,"Young People 0-35",IF(Table1[[#This Row],[Age]]&gt;54,"Senior Above 54","Middle Age 35-55"))</f>
        <v>Senior Above 54</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IF(Table1[[#This Row],[Age]]&lt;35,"Young People 0-35",IF(Table1[[#This Row],[Age]]&gt;54,"Senior Above 54","Middle Age 35-55"))</f>
        <v>Middle Age 35-55</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IF(Table1[[#This Row],[Age]]&lt;35,"Young People 0-35",IF(Table1[[#This Row],[Age]]&gt;54,"Senior Above 54","Middle Age 35-55"))</f>
        <v>Senior Above 54</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IF(Table1[[#This Row],[Age]]&lt;35,"Young People 0-35",IF(Table1[[#This Row],[Age]]&gt;54,"Senior Above 54","Middle Age 35-55"))</f>
        <v>Senior Above 54</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IF(Table1[[#This Row],[Age]]&lt;35,"Young People 0-35",IF(Table1[[#This Row],[Age]]&gt;54,"Senior Above 54","Middle Age 35-55"))</f>
        <v>Middle Age 35-55</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IF(Table1[[#This Row],[Age]]&lt;35,"Young People 0-35",IF(Table1[[#This Row],[Age]]&gt;54,"Senior Above 54","Middle Age 35-55"))</f>
        <v>Middle Age 35-55</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IF(Table1[[#This Row],[Age]]&lt;35,"Young People 0-35",IF(Table1[[#This Row],[Age]]&gt;54,"Senior Above 54","Middle Age 35-55"))</f>
        <v>Young People 0-35</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IF(Table1[[#This Row],[Age]]&lt;35,"Young People 0-35",IF(Table1[[#This Row],[Age]]&gt;54,"Senior Above 54","Middle Age 35-55"))</f>
        <v>Young People 0-35</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IF(Table1[[#This Row],[Age]]&lt;35,"Young People 0-35",IF(Table1[[#This Row],[Age]]&gt;54,"Senior Above 54","Middle Age 35-55"))</f>
        <v>Senior Above 54</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IF(Table1[[#This Row],[Age]]&lt;35,"Young People 0-35",IF(Table1[[#This Row],[Age]]&gt;54,"Senior Above 54","Middle Age 35-55"))</f>
        <v>Middle Age 35-55</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IF(Table1[[#This Row],[Age]]&lt;35,"Young People 0-35",IF(Table1[[#This Row],[Age]]&gt;54,"Senior Above 54","Middle Age 35-55"))</f>
        <v>Middle Age 35-55</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IF(Table1[[#This Row],[Age]]&lt;35,"Young People 0-35",IF(Table1[[#This Row],[Age]]&gt;54,"Senior Above 54","Middle Age 35-55"))</f>
        <v>Middle Age 35-55</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IF(Table1[[#This Row],[Age]]&lt;35,"Young People 0-35",IF(Table1[[#This Row],[Age]]&gt;54,"Senior Above 54","Middle Age 35-55"))</f>
        <v>Middle Age 35-55</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IF(Table1[[#This Row],[Age]]&lt;35,"Young People 0-35",IF(Table1[[#This Row],[Age]]&gt;54,"Senior Above 54","Middle Age 35-55"))</f>
        <v>Middle Age 35-55</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IF(Table1[[#This Row],[Age]]&lt;35,"Young People 0-35",IF(Table1[[#This Row],[Age]]&gt;54,"Senior Above 54","Middle Age 35-55"))</f>
        <v>Middle Age 35-55</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IF(Table1[[#This Row],[Age]]&lt;35,"Young People 0-35",IF(Table1[[#This Row],[Age]]&gt;54,"Senior Above 54","Middle Age 35-55"))</f>
        <v>Senior Above 54</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IF(Table1[[#This Row],[Age]]&lt;35,"Young People 0-35",IF(Table1[[#This Row],[Age]]&gt;54,"Senior Above 54","Middle Age 35-55"))</f>
        <v>Middle Age 35-55</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IF(Table1[[#This Row],[Age]]&lt;35,"Young People 0-35",IF(Table1[[#This Row],[Age]]&gt;54,"Senior Above 54","Middle Age 35-55"))</f>
        <v>Young People 0-35</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IF(Table1[[#This Row],[Age]]&lt;35,"Young People 0-35",IF(Table1[[#This Row],[Age]]&gt;54,"Senior Above 54","Middle Age 35-55"))</f>
        <v>Young People 0-35</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IF(Table1[[#This Row],[Age]]&lt;35,"Young People 0-35",IF(Table1[[#This Row],[Age]]&gt;54,"Senior Above 54","Middle Age 35-55"))</f>
        <v>Young People 0-35</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IF(Table1[[#This Row],[Age]]&lt;35,"Young People 0-35",IF(Table1[[#This Row],[Age]]&gt;54,"Senior Above 54","Middle Age 35-55"))</f>
        <v>Middle Age 35-55</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IF(Table1[[#This Row],[Age]]&lt;35,"Young People 0-35",IF(Table1[[#This Row],[Age]]&gt;54,"Senior Above 54","Middle Age 35-55"))</f>
        <v>Senior Above 54</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IF(Table1[[#This Row],[Age]]&lt;35,"Young People 0-35",IF(Table1[[#This Row],[Age]]&gt;54,"Senior Above 54","Middle Age 35-55"))</f>
        <v>Middle Age 35-55</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IF(Table1[[#This Row],[Age]]&lt;35,"Young People 0-35",IF(Table1[[#This Row],[Age]]&gt;54,"Senior Above 54","Middle Age 35-55"))</f>
        <v>Middle Age 35-55</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IF(Table1[[#This Row],[Age]]&lt;35,"Young People 0-35",IF(Table1[[#This Row],[Age]]&gt;54,"Senior Above 54","Middle Age 35-55"))</f>
        <v>Senior Above 54</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IF(Table1[[#This Row],[Age]]&lt;35,"Young People 0-35",IF(Table1[[#This Row],[Age]]&gt;54,"Senior Above 54","Middle Age 35-55"))</f>
        <v>Middle Age 35-55</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IF(Table1[[#This Row],[Age]]&lt;35,"Young People 0-35",IF(Table1[[#This Row],[Age]]&gt;54,"Senior Above 54","Middle Age 35-55"))</f>
        <v>Middle Age 35-55</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IF(Table1[[#This Row],[Age]]&lt;35,"Young People 0-35",IF(Table1[[#This Row],[Age]]&gt;54,"Senior Above 54","Middle Age 35-55"))</f>
        <v>Young People 0-35</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IF(Table1[[#This Row],[Age]]&lt;35,"Young People 0-35",IF(Table1[[#This Row],[Age]]&gt;54,"Senior Above 54","Middle Age 35-55"))</f>
        <v>Middle Age 35-55</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IF(Table1[[#This Row],[Age]]&lt;35,"Young People 0-35",IF(Table1[[#This Row],[Age]]&gt;54,"Senior Above 54","Middle Age 35-55"))</f>
        <v>Middle Age 35-55</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IF(Table1[[#This Row],[Age]]&lt;35,"Young People 0-35",IF(Table1[[#This Row],[Age]]&gt;54,"Senior Above 54","Middle Age 35-55"))</f>
        <v>Senior Above 54</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IF(Table1[[#This Row],[Age]]&lt;35,"Young People 0-35",IF(Table1[[#This Row],[Age]]&gt;54,"Senior Above 54","Middle Age 35-55"))</f>
        <v>Young People 0-35</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IF(Table1[[#This Row],[Age]]&lt;35,"Young People 0-35",IF(Table1[[#This Row],[Age]]&gt;54,"Senior Above 54","Middle Age 35-55"))</f>
        <v>Middle Age 35-55</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IF(Table1[[#This Row],[Age]]&lt;35,"Young People 0-35",IF(Table1[[#This Row],[Age]]&gt;54,"Senior Above 54","Middle Age 35-55"))</f>
        <v>Middle Age 35-55</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IF(Table1[[#This Row],[Age]]&lt;35,"Young People 0-35",IF(Table1[[#This Row],[Age]]&gt;54,"Senior Above 54","Middle Age 35-55"))</f>
        <v>Senior Above 54</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IF(Table1[[#This Row],[Age]]&lt;35,"Young People 0-35",IF(Table1[[#This Row],[Age]]&gt;54,"Senior Above 54","Middle Age 35-55"))</f>
        <v>Middle Age 35-55</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IF(Table1[[#This Row],[Age]]&lt;35,"Young People 0-35",IF(Table1[[#This Row],[Age]]&gt;54,"Senior Above 54","Middle Age 35-55"))</f>
        <v>Middle Age 35-55</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IF(Table1[[#This Row],[Age]]&lt;35,"Young People 0-35",IF(Table1[[#This Row],[Age]]&gt;54,"Senior Above 54","Middle Age 35-55"))</f>
        <v>Middle Age 35-55</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IF(Table1[[#This Row],[Age]]&lt;35,"Young People 0-35",IF(Table1[[#This Row],[Age]]&gt;54,"Senior Above 54","Middle Age 35-55"))</f>
        <v>Middle Age 35-55</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IF(Table1[[#This Row],[Age]]&lt;35,"Young People 0-35",IF(Table1[[#This Row],[Age]]&gt;54,"Senior Above 54","Middle Age 35-55"))</f>
        <v>Young People 0-35</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IF(Table1[[#This Row],[Age]]&lt;35,"Young People 0-35",IF(Table1[[#This Row],[Age]]&gt;54,"Senior Above 54","Middle Age 35-55"))</f>
        <v>Middle Age 35-55</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IF(Table1[[#This Row],[Age]]&lt;35,"Young People 0-35",IF(Table1[[#This Row],[Age]]&gt;54,"Senior Above 54","Middle Age 35-55"))</f>
        <v>Senior Above 54</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IF(Table1[[#This Row],[Age]]&lt;35,"Young People 0-35",IF(Table1[[#This Row],[Age]]&gt;54,"Senior Above 54","Middle Age 35-55"))</f>
        <v>Middle Age 35-55</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IF(Table1[[#This Row],[Age]]&lt;35,"Young People 0-35",IF(Table1[[#This Row],[Age]]&gt;54,"Senior Above 54","Middle Age 35-55"))</f>
        <v>Middle Age 35-55</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IF(Table1[[#This Row],[Age]]&lt;35,"Young People 0-35",IF(Table1[[#This Row],[Age]]&gt;54,"Senior Above 54","Middle Age 35-55"))</f>
        <v>Middle Age 35-55</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IF(Table1[[#This Row],[Age]]&lt;35,"Young People 0-35",IF(Table1[[#This Row],[Age]]&gt;54,"Senior Above 54","Middle Age 35-55"))</f>
        <v>Young People 0-35</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IF(Table1[[#This Row],[Age]]&lt;35,"Young People 0-35",IF(Table1[[#This Row],[Age]]&gt;54,"Senior Above 54","Middle Age 35-55"))</f>
        <v>Middle Age 35-55</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IF(Table1[[#This Row],[Age]]&lt;35,"Young People 0-35",IF(Table1[[#This Row],[Age]]&gt;54,"Senior Above 54","Middle Age 35-55"))</f>
        <v>Middle Age 35-55</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IF(Table1[[#This Row],[Age]]&lt;35,"Young People 0-35",IF(Table1[[#This Row],[Age]]&gt;54,"Senior Above 54","Middle Age 35-55"))</f>
        <v>Senior Above 54</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IF(Table1[[#This Row],[Age]]&lt;35,"Young People 0-35",IF(Table1[[#This Row],[Age]]&gt;54,"Senior Above 54","Middle Age 35-55"))</f>
        <v>Middle Age 35-55</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IF(Table1[[#This Row],[Age]]&lt;35,"Young People 0-35",IF(Table1[[#This Row],[Age]]&gt;54,"Senior Above 54","Middle Age 35-55"))</f>
        <v>Senior Above 54</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IF(Table1[[#This Row],[Age]]&lt;35,"Young People 0-35",IF(Table1[[#This Row],[Age]]&gt;54,"Senior Above 54","Middle Age 35-55"))</f>
        <v>Young People 0-35</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IF(Table1[[#This Row],[Age]]&lt;35,"Young People 0-35",IF(Table1[[#This Row],[Age]]&gt;54,"Senior Above 54","Middle Age 35-55"))</f>
        <v>Young People 0-35</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IF(Table1[[#This Row],[Age]]&lt;35,"Young People 0-35",IF(Table1[[#This Row],[Age]]&gt;54,"Senior Above 54","Middle Age 35-55"))</f>
        <v>Young People 0-35</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IF(Table1[[#This Row],[Age]]&lt;35,"Young People 0-35",IF(Table1[[#This Row],[Age]]&gt;54,"Senior Above 54","Middle Age 35-55"))</f>
        <v>Middle Age 35-55</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IF(Table1[[#This Row],[Age]]&lt;35,"Young People 0-35",IF(Table1[[#This Row],[Age]]&gt;54,"Senior Above 54","Middle Age 35-55"))</f>
        <v>Senior Above 54</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IF(Table1[[#This Row],[Age]]&lt;35,"Young People 0-35",IF(Table1[[#This Row],[Age]]&gt;54,"Senior Above 54","Middle Age 35-55"))</f>
        <v>Young People 0-35</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IF(Table1[[#This Row],[Age]]&lt;35,"Young People 0-35",IF(Table1[[#This Row],[Age]]&gt;54,"Senior Above 54","Middle Age 35-55"))</f>
        <v>Young People 0-35</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IF(Table1[[#This Row],[Age]]&lt;35,"Young People 0-35",IF(Table1[[#This Row],[Age]]&gt;54,"Senior Above 54","Middle Age 35-55"))</f>
        <v>Young People 0-35</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IF(Table1[[#This Row],[Age]]&lt;35,"Young People 0-35",IF(Table1[[#This Row],[Age]]&gt;54,"Senior Above 54","Middle Age 35-55"))</f>
        <v>Young People 0-35</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IF(Table1[[#This Row],[Age]]&lt;35,"Young People 0-35",IF(Table1[[#This Row],[Age]]&gt;54,"Senior Above 54","Middle Age 35-55"))</f>
        <v>Middle Age 35-55</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IF(Table1[[#This Row],[Age]]&lt;35,"Young People 0-35",IF(Table1[[#This Row],[Age]]&gt;54,"Senior Above 54","Middle Age 35-55"))</f>
        <v>Young People 0-35</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IF(Table1[[#This Row],[Age]]&lt;35,"Young People 0-35",IF(Table1[[#This Row],[Age]]&gt;54,"Senior Above 54","Middle Age 35-55"))</f>
        <v>Middle Age 35-55</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IF(Table1[[#This Row],[Age]]&lt;35,"Young People 0-35",IF(Table1[[#This Row],[Age]]&gt;54,"Senior Above 54","Middle Age 35-55"))</f>
        <v>Senior Above 54</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IF(Table1[[#This Row],[Age]]&lt;35,"Young People 0-35",IF(Table1[[#This Row],[Age]]&gt;54,"Senior Above 54","Middle Age 35-55"))</f>
        <v>Middle Age 35-55</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IF(Table1[[#This Row],[Age]]&lt;35,"Young People 0-35",IF(Table1[[#This Row],[Age]]&gt;54,"Senior Above 54","Middle Age 35-55"))</f>
        <v>Young People 0-35</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IF(Table1[[#This Row],[Age]]&lt;35,"Young People 0-35",IF(Table1[[#This Row],[Age]]&gt;54,"Senior Above 54","Middle Age 35-55"))</f>
        <v>Senior Above 54</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IF(Table1[[#This Row],[Age]]&lt;35,"Young People 0-35",IF(Table1[[#This Row],[Age]]&gt;54,"Senior Above 54","Middle Age 35-55"))</f>
        <v>Middle Age 35-55</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IF(Table1[[#This Row],[Age]]&lt;35,"Young People 0-35",IF(Table1[[#This Row],[Age]]&gt;54,"Senior Above 54","Middle Age 35-55"))</f>
        <v>Senior Above 54</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IF(Table1[[#This Row],[Age]]&lt;35,"Young People 0-35",IF(Table1[[#This Row],[Age]]&gt;54,"Senior Above 54","Middle Age 35-55"))</f>
        <v>Young People 0-35</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IF(Table1[[#This Row],[Age]]&lt;35,"Young People 0-35",IF(Table1[[#This Row],[Age]]&gt;54,"Senior Above 54","Middle Age 35-55"))</f>
        <v>Middle Age 35-55</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IF(Table1[[#This Row],[Age]]&lt;35,"Young People 0-35",IF(Table1[[#This Row],[Age]]&gt;54,"Senior Above 54","Middle Age 35-55"))</f>
        <v>Middle Age 35-55</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IF(Table1[[#This Row],[Age]]&lt;35,"Young People 0-35",IF(Table1[[#This Row],[Age]]&gt;54,"Senior Above 54","Middle Age 35-55"))</f>
        <v>Young People 0-35</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IF(Table1[[#This Row],[Age]]&lt;35,"Young People 0-35",IF(Table1[[#This Row],[Age]]&gt;54,"Senior Above 54","Middle Age 35-55"))</f>
        <v>Young People 0-35</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IF(Table1[[#This Row],[Age]]&lt;35,"Young People 0-35",IF(Table1[[#This Row],[Age]]&gt;54,"Senior Above 54","Middle Age 35-55"))</f>
        <v>Middle Age 35-55</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IF(Table1[[#This Row],[Age]]&lt;35,"Young People 0-35",IF(Table1[[#This Row],[Age]]&gt;54,"Senior Above 54","Middle Age 35-55"))</f>
        <v>Young People 0-35</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IF(Table1[[#This Row],[Age]]&lt;35,"Young People 0-35",IF(Table1[[#This Row],[Age]]&gt;54,"Senior Above 54","Middle Age 35-55"))</f>
        <v>Young People 0-35</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IF(Table1[[#This Row],[Age]]&lt;35,"Young People 0-35",IF(Table1[[#This Row],[Age]]&gt;54,"Senior Above 54","Middle Age 35-55"))</f>
        <v>Middle Age 35-55</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IF(Table1[[#This Row],[Age]]&lt;35,"Young People 0-35",IF(Table1[[#This Row],[Age]]&gt;54,"Senior Above 54","Middle Age 35-55"))</f>
        <v>Middle Age 35-55</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IF(Table1[[#This Row],[Age]]&lt;35,"Young People 0-35",IF(Table1[[#This Row],[Age]]&gt;54,"Senior Above 54","Middle Age 35-55"))</f>
        <v>Middle Age 35-55</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IF(Table1[[#This Row],[Age]]&lt;35,"Young People 0-35",IF(Table1[[#This Row],[Age]]&gt;54,"Senior Above 54","Middle Age 35-55"))</f>
        <v>Middle Age 35-55</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IF(Table1[[#This Row],[Age]]&lt;35,"Young People 0-35",IF(Table1[[#This Row],[Age]]&gt;54,"Senior Above 54","Middle Age 35-55"))</f>
        <v>Middle Age 35-55</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IF(Table1[[#This Row],[Age]]&lt;35,"Young People 0-35",IF(Table1[[#This Row],[Age]]&gt;54,"Senior Above 54","Middle Age 35-55"))</f>
        <v>Young People 0-35</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IF(Table1[[#This Row],[Age]]&lt;35,"Young People 0-35",IF(Table1[[#This Row],[Age]]&gt;54,"Senior Above 54","Middle Age 35-55"))</f>
        <v>Senior Above 54</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IF(Table1[[#This Row],[Age]]&lt;35,"Young People 0-35",IF(Table1[[#This Row],[Age]]&gt;54,"Senior Above 54","Middle Age 35-55"))</f>
        <v>Middle Age 35-55</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IF(Table1[[#This Row],[Age]]&lt;35,"Young People 0-35",IF(Table1[[#This Row],[Age]]&gt;54,"Senior Above 54","Middle Age 35-55"))</f>
        <v>Middle Age 35-55</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IF(Table1[[#This Row],[Age]]&lt;35,"Young People 0-35",IF(Table1[[#This Row],[Age]]&gt;54,"Senior Above 54","Middle Age 35-55"))</f>
        <v>Middle Age 35-55</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IF(Table1[[#This Row],[Age]]&lt;35,"Young People 0-35",IF(Table1[[#This Row],[Age]]&gt;54,"Senior Above 54","Middle Age 35-55"))</f>
        <v>Middle Age 35-55</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IF(Table1[[#This Row],[Age]]&lt;35,"Young People 0-35",IF(Table1[[#This Row],[Age]]&gt;54,"Senior Above 54","Middle Age 35-55"))</f>
        <v>Middle Age 35-55</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IF(Table1[[#This Row],[Age]]&lt;35,"Young People 0-35",IF(Table1[[#This Row],[Age]]&gt;54,"Senior Above 54","Middle Age 35-55"))</f>
        <v>Middle Age 35-55</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IF(Table1[[#This Row],[Age]]&lt;35,"Young People 0-35",IF(Table1[[#This Row],[Age]]&gt;54,"Senior Above 54","Middle Age 35-55"))</f>
        <v>Young People 0-35</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IF(Table1[[#This Row],[Age]]&lt;35,"Young People 0-35",IF(Table1[[#This Row],[Age]]&gt;54,"Senior Above 54","Middle Age 35-55"))</f>
        <v>Young People 0-35</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IF(Table1[[#This Row],[Age]]&lt;35,"Young People 0-35",IF(Table1[[#This Row],[Age]]&gt;54,"Senior Above 54","Middle Age 35-55"))</f>
        <v>Middle Age 35-55</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IF(Table1[[#This Row],[Age]]&lt;35,"Young People 0-35",IF(Table1[[#This Row],[Age]]&gt;54,"Senior Above 54","Middle Age 35-55"))</f>
        <v>Middle Age 35-55</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IF(Table1[[#This Row],[Age]]&lt;35,"Young People 0-35",IF(Table1[[#This Row],[Age]]&gt;54,"Senior Above 54","Middle Age 35-55"))</f>
        <v>Middle Age 35-55</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IF(Table1[[#This Row],[Age]]&lt;35,"Young People 0-35",IF(Table1[[#This Row],[Age]]&gt;54,"Senior Above 54","Middle Age 35-55"))</f>
        <v>Senior Above 54</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IF(Table1[[#This Row],[Age]]&lt;35,"Young People 0-35",IF(Table1[[#This Row],[Age]]&gt;54,"Senior Above 54","Middle Age 35-55"))</f>
        <v>Middle Age 35-55</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IF(Table1[[#This Row],[Age]]&lt;35,"Young People 0-35",IF(Table1[[#This Row],[Age]]&gt;54,"Senior Above 54","Middle Age 35-55"))</f>
        <v>Middle Age 35-55</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IF(Table1[[#This Row],[Age]]&lt;35,"Young People 0-35",IF(Table1[[#This Row],[Age]]&gt;54,"Senior Above 54","Middle Age 35-55"))</f>
        <v>Senior Above 54</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IF(Table1[[#This Row],[Age]]&lt;35,"Young People 0-35",IF(Table1[[#This Row],[Age]]&gt;54,"Senior Above 54","Middle Age 35-55"))</f>
        <v>Middle Age 35-55</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IF(Table1[[#This Row],[Age]]&lt;35,"Young People 0-35",IF(Table1[[#This Row],[Age]]&gt;54,"Senior Above 54","Middle Age 35-55"))</f>
        <v>Senior Above 54</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IF(Table1[[#This Row],[Age]]&lt;35,"Young People 0-35",IF(Table1[[#This Row],[Age]]&gt;54,"Senior Above 54","Middle Age 35-55"))</f>
        <v>Young People 0-35</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IF(Table1[[#This Row],[Age]]&lt;35,"Young People 0-35",IF(Table1[[#This Row],[Age]]&gt;54,"Senior Above 54","Middle Age 35-55"))</f>
        <v>Middle Age 35-55</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IF(Table1[[#This Row],[Age]]&lt;35,"Young People 0-35",IF(Table1[[#This Row],[Age]]&gt;54,"Senior Above 54","Middle Age 35-55"))</f>
        <v>Senior Above 54</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IF(Table1[[#This Row],[Age]]&lt;35,"Young People 0-35",IF(Table1[[#This Row],[Age]]&gt;54,"Senior Above 54","Middle Age 35-55"))</f>
        <v>Senior Above 54</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IF(Table1[[#This Row],[Age]]&lt;35,"Young People 0-35",IF(Table1[[#This Row],[Age]]&gt;54,"Senior Above 54","Middle Age 35-55"))</f>
        <v>Young People 0-35</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IF(Table1[[#This Row],[Age]]&lt;35,"Young People 0-35",IF(Table1[[#This Row],[Age]]&gt;54,"Senior Above 54","Middle Age 35-55"))</f>
        <v>Middle Age 35-55</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IF(Table1[[#This Row],[Age]]&lt;35,"Young People 0-35",IF(Table1[[#This Row],[Age]]&gt;54,"Senior Above 54","Middle Age 35-55"))</f>
        <v>Middle Age 35-55</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IF(Table1[[#This Row],[Age]]&lt;35,"Young People 0-35",IF(Table1[[#This Row],[Age]]&gt;54,"Senior Above 54","Middle Age 35-55"))</f>
        <v>Young People 0-35</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IF(Table1[[#This Row],[Age]]&lt;35,"Young People 0-35",IF(Table1[[#This Row],[Age]]&gt;54,"Senior Above 54","Middle Age 35-55"))</f>
        <v>Young People 0-35</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IF(Table1[[#This Row],[Age]]&lt;35,"Young People 0-35",IF(Table1[[#This Row],[Age]]&gt;54,"Senior Above 54","Middle Age 35-55"))</f>
        <v>Young People 0-35</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IF(Table1[[#This Row],[Age]]&lt;35,"Young People 0-35",IF(Table1[[#This Row],[Age]]&gt;54,"Senior Above 54","Middle Age 35-55"))</f>
        <v>Middle Age 35-55</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IF(Table1[[#This Row],[Age]]&lt;35,"Young People 0-35",IF(Table1[[#This Row],[Age]]&gt;54,"Senior Above 54","Middle Age 35-55"))</f>
        <v>Middle Age 35-55</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IF(Table1[[#This Row],[Age]]&lt;35,"Young People 0-35",IF(Table1[[#This Row],[Age]]&gt;54,"Senior Above 54","Middle Age 35-55"))</f>
        <v>Middle Age 35-55</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IF(Table1[[#This Row],[Age]]&lt;35,"Young People 0-35",IF(Table1[[#This Row],[Age]]&gt;54,"Senior Above 54","Middle Age 35-55"))</f>
        <v>Young People 0-35</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IF(Table1[[#This Row],[Age]]&lt;35,"Young People 0-35",IF(Table1[[#This Row],[Age]]&gt;54,"Senior Above 54","Middle Age 35-55"))</f>
        <v>Middle Age 35-55</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IF(Table1[[#This Row],[Age]]&lt;35,"Young People 0-35",IF(Table1[[#This Row],[Age]]&gt;54,"Senior Above 54","Middle Age 35-55"))</f>
        <v>Young People 0-35</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IF(Table1[[#This Row],[Age]]&lt;35,"Young People 0-35",IF(Table1[[#This Row],[Age]]&gt;54,"Senior Above 54","Middle Age 35-55"))</f>
        <v>Middle Age 35-55</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IF(Table1[[#This Row],[Age]]&lt;35,"Young People 0-35",IF(Table1[[#This Row],[Age]]&gt;54,"Senior Above 54","Middle Age 35-55"))</f>
        <v>Young People 0-35</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IF(Table1[[#This Row],[Age]]&lt;35,"Young People 0-35",IF(Table1[[#This Row],[Age]]&gt;54,"Senior Above 54","Middle Age 35-55"))</f>
        <v>Middle Age 35-55</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IF(Table1[[#This Row],[Age]]&lt;35,"Young People 0-35",IF(Table1[[#This Row],[Age]]&gt;54,"Senior Above 54","Middle Age 35-55"))</f>
        <v>Senior Above 54</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IF(Table1[[#This Row],[Age]]&lt;35,"Young People 0-35",IF(Table1[[#This Row],[Age]]&gt;54,"Senior Above 54","Middle Age 35-55"))</f>
        <v>Middle Age 35-55</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IF(Table1[[#This Row],[Age]]&lt;35,"Young People 0-35",IF(Table1[[#This Row],[Age]]&gt;54,"Senior Above 54","Middle Age 35-55"))</f>
        <v>Senior Above 54</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IF(Table1[[#This Row],[Age]]&lt;35,"Young People 0-35",IF(Table1[[#This Row],[Age]]&gt;54,"Senior Above 54","Middle Age 35-55"))</f>
        <v>Middle Age 35-55</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IF(Table1[[#This Row],[Age]]&lt;35,"Young People 0-35",IF(Table1[[#This Row],[Age]]&gt;54,"Senior Above 54","Middle Age 35-55"))</f>
        <v>Middle Age 35-55</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IF(Table1[[#This Row],[Age]]&lt;35,"Young People 0-35",IF(Table1[[#This Row],[Age]]&gt;54,"Senior Above 54","Middle Age 35-55"))</f>
        <v>Senior Above 54</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IF(Table1[[#This Row],[Age]]&lt;35,"Young People 0-35",IF(Table1[[#This Row],[Age]]&gt;54,"Senior Above 54","Middle Age 35-55"))</f>
        <v>Middle Age 35-55</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IF(Table1[[#This Row],[Age]]&lt;35,"Young People 0-35",IF(Table1[[#This Row],[Age]]&gt;54,"Senior Above 54","Middle Age 35-55"))</f>
        <v>Middle Age 35-55</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IF(Table1[[#This Row],[Age]]&lt;35,"Young People 0-35",IF(Table1[[#This Row],[Age]]&gt;54,"Senior Above 54","Middle Age 35-55"))</f>
        <v>Middle Age 35-55</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IF(Table1[[#This Row],[Age]]&lt;35,"Young People 0-35",IF(Table1[[#This Row],[Age]]&gt;54,"Senior Above 54","Middle Age 35-55"))</f>
        <v>Middle Age 35-55</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IF(Table1[[#This Row],[Age]]&lt;35,"Young People 0-35",IF(Table1[[#This Row],[Age]]&gt;54,"Senior Above 54","Middle Age 35-55"))</f>
        <v>Young People 0-35</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IF(Table1[[#This Row],[Age]]&lt;35,"Young People 0-35",IF(Table1[[#This Row],[Age]]&gt;54,"Senior Above 54","Middle Age 35-55"))</f>
        <v>Senior Above 54</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IF(Table1[[#This Row],[Age]]&lt;35,"Young People 0-35",IF(Table1[[#This Row],[Age]]&gt;54,"Senior Above 54","Middle Age 35-55"))</f>
        <v>Senior Above 54</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IF(Table1[[#This Row],[Age]]&lt;35,"Young People 0-35",IF(Table1[[#This Row],[Age]]&gt;54,"Senior Above 54","Middle Age 35-55"))</f>
        <v>Middle Age 35-55</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IF(Table1[[#This Row],[Age]]&lt;35,"Young People 0-35",IF(Table1[[#This Row],[Age]]&gt;54,"Senior Above 54","Middle Age 35-55"))</f>
        <v>Middle Age 35-55</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IF(Table1[[#This Row],[Age]]&lt;35,"Young People 0-35",IF(Table1[[#This Row],[Age]]&gt;54,"Senior Above 54","Middle Age 35-55"))</f>
        <v>Senior Above 54</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IF(Table1[[#This Row],[Age]]&lt;35,"Young People 0-35",IF(Table1[[#This Row],[Age]]&gt;54,"Senior Above 54","Middle Age 35-55"))</f>
        <v>Young People 0-35</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IF(Table1[[#This Row],[Age]]&lt;35,"Young People 0-35",IF(Table1[[#This Row],[Age]]&gt;54,"Senior Above 54","Middle Age 35-55"))</f>
        <v>Middle Age 35-55</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IF(Table1[[#This Row],[Age]]&lt;35,"Young People 0-35",IF(Table1[[#This Row],[Age]]&gt;54,"Senior Above 54","Middle Age 35-55"))</f>
        <v>Senior Above 54</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IF(Table1[[#This Row],[Age]]&lt;35,"Young People 0-35",IF(Table1[[#This Row],[Age]]&gt;54,"Senior Above 54","Middle Age 35-55"))</f>
        <v>Middle Age 35-55</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IF(Table1[[#This Row],[Age]]&lt;35,"Young People 0-35",IF(Table1[[#This Row],[Age]]&gt;54,"Senior Above 54","Middle Age 35-55"))</f>
        <v>Young People 0-35</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IF(Table1[[#This Row],[Age]]&lt;35,"Young People 0-35",IF(Table1[[#This Row],[Age]]&gt;54,"Senior Above 54","Middle Age 35-55"))</f>
        <v>Young People 0-35</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IF(Table1[[#This Row],[Age]]&lt;35,"Young People 0-35",IF(Table1[[#This Row],[Age]]&gt;54,"Senior Above 54","Middle Age 35-55"))</f>
        <v>Middle Age 35-55</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IF(Table1[[#This Row],[Age]]&lt;35,"Young People 0-35",IF(Table1[[#This Row],[Age]]&gt;54,"Senior Above 54","Middle Age 35-55"))</f>
        <v>Middle Age 35-55</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IF(Table1[[#This Row],[Age]]&lt;35,"Young People 0-35",IF(Table1[[#This Row],[Age]]&gt;54,"Senior Above 54","Middle Age 35-55"))</f>
        <v>Middle Age 35-55</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IF(Table1[[#This Row],[Age]]&lt;35,"Young People 0-35",IF(Table1[[#This Row],[Age]]&gt;54,"Senior Above 54","Middle Age 35-55"))</f>
        <v>Senior Above 54</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IF(Table1[[#This Row],[Age]]&lt;35,"Young People 0-35",IF(Table1[[#This Row],[Age]]&gt;54,"Senior Above 54","Middle Age 35-55"))</f>
        <v>Middle Age 35-55</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IF(Table1[[#This Row],[Age]]&lt;35,"Young People 0-35",IF(Table1[[#This Row],[Age]]&gt;54,"Senior Above 54","Middle Age 35-55"))</f>
        <v>Middle Age 35-55</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IF(Table1[[#This Row],[Age]]&lt;35,"Young People 0-35",IF(Table1[[#This Row],[Age]]&gt;54,"Senior Above 54","Middle Age 35-55"))</f>
        <v>Middle Age 35-55</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IF(Table1[[#This Row],[Age]]&lt;35,"Young People 0-35",IF(Table1[[#This Row],[Age]]&gt;54,"Senior Above 54","Middle Age 35-55"))</f>
        <v>Senior Above 54</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IF(Table1[[#This Row],[Age]]&lt;35,"Young People 0-35",IF(Table1[[#This Row],[Age]]&gt;54,"Senior Above 54","Middle Age 35-55"))</f>
        <v>Young People 0-35</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IF(Table1[[#This Row],[Age]]&lt;35,"Young People 0-35",IF(Table1[[#This Row],[Age]]&gt;54,"Senior Above 54","Middle Age 35-55"))</f>
        <v>Young People 0-35</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IF(Table1[[#This Row],[Age]]&lt;35,"Young People 0-35",IF(Table1[[#This Row],[Age]]&gt;54,"Senior Above 54","Middle Age 35-55"))</f>
        <v>Senior Above 54</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IF(Table1[[#This Row],[Age]]&lt;35,"Young People 0-35",IF(Table1[[#This Row],[Age]]&gt;54,"Senior Above 54","Middle Age 35-55"))</f>
        <v>Middle Age 35-55</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IF(Table1[[#This Row],[Age]]&lt;35,"Young People 0-35",IF(Table1[[#This Row],[Age]]&gt;54,"Senior Above 54","Middle Age 35-55"))</f>
        <v>Middle Age 35-55</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IF(Table1[[#This Row],[Age]]&lt;35,"Young People 0-35",IF(Table1[[#This Row],[Age]]&gt;54,"Senior Above 54","Middle Age 35-55"))</f>
        <v>Middle Age 35-55</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IF(Table1[[#This Row],[Age]]&lt;35,"Young People 0-35",IF(Table1[[#This Row],[Age]]&gt;54,"Senior Above 54","Middle Age 35-55"))</f>
        <v>Middle Age 35-55</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IF(Table1[[#This Row],[Age]]&lt;35,"Young People 0-35",IF(Table1[[#This Row],[Age]]&gt;54,"Senior Above 54","Middle Age 35-55"))</f>
        <v>Senior Above 54</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IF(Table1[[#This Row],[Age]]&lt;35,"Young People 0-35",IF(Table1[[#This Row],[Age]]&gt;54,"Senior Above 54","Middle Age 35-55"))</f>
        <v>Middle Age 35-55</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IF(Table1[[#This Row],[Age]]&lt;35,"Young People 0-35",IF(Table1[[#This Row],[Age]]&gt;54,"Senior Above 54","Middle Age 35-55"))</f>
        <v>Middle Age 35-55</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IF(Table1[[#This Row],[Age]]&lt;35,"Young People 0-35",IF(Table1[[#This Row],[Age]]&gt;54,"Senior Above 54","Middle Age 35-55"))</f>
        <v>Young People 0-35</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IF(Table1[[#This Row],[Age]]&lt;35,"Young People 0-35",IF(Table1[[#This Row],[Age]]&gt;54,"Senior Above 54","Middle Age 35-55"))</f>
        <v>Senior Above 54</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IF(Table1[[#This Row],[Age]]&lt;35,"Young People 0-35",IF(Table1[[#This Row],[Age]]&gt;54,"Senior Above 54","Middle Age 35-55"))</f>
        <v>Middle Age 35-55</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IF(Table1[[#This Row],[Age]]&lt;35,"Young People 0-35",IF(Table1[[#This Row],[Age]]&gt;54,"Senior Above 54","Middle Age 35-55"))</f>
        <v>Middle Age 35-55</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IF(Table1[[#This Row],[Age]]&lt;35,"Young People 0-35",IF(Table1[[#This Row],[Age]]&gt;54,"Senior Above 54","Middle Age 35-55"))</f>
        <v>Middle Age 35-55</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IF(Table1[[#This Row],[Age]]&lt;35,"Young People 0-35",IF(Table1[[#This Row],[Age]]&gt;54,"Senior Above 54","Middle Age 35-55"))</f>
        <v>Senior Above 54</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IF(Table1[[#This Row],[Age]]&lt;35,"Young People 0-35",IF(Table1[[#This Row],[Age]]&gt;54,"Senior Above 54","Middle Age 35-55"))</f>
        <v>Young People 0-35</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IF(Table1[[#This Row],[Age]]&lt;35,"Young People 0-35",IF(Table1[[#This Row],[Age]]&gt;54,"Senior Above 54","Middle Age 35-55"))</f>
        <v>Middle Age 35-55</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IF(Table1[[#This Row],[Age]]&lt;35,"Young People 0-35",IF(Table1[[#This Row],[Age]]&gt;54,"Senior Above 54","Middle Age 35-55"))</f>
        <v>Middle Age 35-55</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IF(Table1[[#This Row],[Age]]&lt;35,"Young People 0-35",IF(Table1[[#This Row],[Age]]&gt;54,"Senior Above 54","Middle Age 35-55"))</f>
        <v>Senior Above 54</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IF(Table1[[#This Row],[Age]]&lt;35,"Young People 0-35",IF(Table1[[#This Row],[Age]]&gt;54,"Senior Above 54","Middle Age 35-55"))</f>
        <v>Middle Age 35-55</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IF(Table1[[#This Row],[Age]]&lt;35,"Young People 0-35",IF(Table1[[#This Row],[Age]]&gt;54,"Senior Above 54","Middle Age 35-55"))</f>
        <v>Middle Age 35-55</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IF(Table1[[#This Row],[Age]]&lt;35,"Young People 0-35",IF(Table1[[#This Row],[Age]]&gt;54,"Senior Above 54","Middle Age 35-55"))</f>
        <v>Young People 0-35</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IF(Table1[[#This Row],[Age]]&lt;35,"Young People 0-35",IF(Table1[[#This Row],[Age]]&gt;54,"Senior Above 54","Middle Age 35-55"))</f>
        <v>Senior Above 54</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IF(Table1[[#This Row],[Age]]&lt;35,"Young People 0-35",IF(Table1[[#This Row],[Age]]&gt;54,"Senior Above 54","Middle Age 35-55"))</f>
        <v>Middle Age 35-55</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IF(Table1[[#This Row],[Age]]&lt;35,"Young People 0-35",IF(Table1[[#This Row],[Age]]&gt;54,"Senior Above 54","Middle Age 35-55"))</f>
        <v>Middle Age 35-55</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IF(Table1[[#This Row],[Age]]&lt;35,"Young People 0-35",IF(Table1[[#This Row],[Age]]&gt;54,"Senior Above 54","Middle Age 35-55"))</f>
        <v>Middle Age 35-55</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IF(Table1[[#This Row],[Age]]&lt;35,"Young People 0-35",IF(Table1[[#This Row],[Age]]&gt;54,"Senior Above 54","Middle Age 35-55"))</f>
        <v>Middle Age 35-55</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IF(Table1[[#This Row],[Age]]&lt;35,"Young People 0-35",IF(Table1[[#This Row],[Age]]&gt;54,"Senior Above 54","Middle Age 35-55"))</f>
        <v>Middle Age 35-55</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IF(Table1[[#This Row],[Age]]&lt;35,"Young People 0-35",IF(Table1[[#This Row],[Age]]&gt;54,"Senior Above 54","Middle Age 35-55"))</f>
        <v>Young People 0-35</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IF(Table1[[#This Row],[Age]]&lt;35,"Young People 0-35",IF(Table1[[#This Row],[Age]]&gt;54,"Senior Above 54","Middle Age 35-55"))</f>
        <v>Senior Above 54</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IF(Table1[[#This Row],[Age]]&lt;35,"Young People 0-35",IF(Table1[[#This Row],[Age]]&gt;54,"Senior Above 54","Middle Age 35-55"))</f>
        <v>Middle Age 35-55</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IF(Table1[[#This Row],[Age]]&lt;35,"Young People 0-35",IF(Table1[[#This Row],[Age]]&gt;54,"Senior Above 54","Middle Age 35-55"))</f>
        <v>Middle Age 35-55</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IF(Table1[[#This Row],[Age]]&lt;35,"Young People 0-35",IF(Table1[[#This Row],[Age]]&gt;54,"Senior Above 54","Middle Age 35-55"))</f>
        <v>Middle Age 35-55</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IF(Table1[[#This Row],[Age]]&lt;35,"Young People 0-35",IF(Table1[[#This Row],[Age]]&gt;54,"Senior Above 54","Middle Age 35-55"))</f>
        <v>Middle Age 35-55</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IF(Table1[[#This Row],[Age]]&lt;35,"Young People 0-35",IF(Table1[[#This Row],[Age]]&gt;54,"Senior Above 54","Middle Age 35-55"))</f>
        <v>Middle Age 35-55</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IF(Table1[[#This Row],[Age]]&lt;35,"Young People 0-35",IF(Table1[[#This Row],[Age]]&gt;54,"Senior Above 54","Middle Age 35-55"))</f>
        <v>Young People 0-35</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IF(Table1[[#This Row],[Age]]&lt;35,"Young People 0-35",IF(Table1[[#This Row],[Age]]&gt;54,"Senior Above 54","Middle Age 35-55"))</f>
        <v>Young People 0-35</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IF(Table1[[#This Row],[Age]]&lt;35,"Young People 0-35",IF(Table1[[#This Row],[Age]]&gt;54,"Senior Above 54","Middle Age 35-55"))</f>
        <v>Senior Above 54</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IF(Table1[[#This Row],[Age]]&lt;35,"Young People 0-35",IF(Table1[[#This Row],[Age]]&gt;54,"Senior Above 54","Middle Age 35-55"))</f>
        <v>Middle Age 35-55</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IF(Table1[[#This Row],[Age]]&lt;35,"Young People 0-35",IF(Table1[[#This Row],[Age]]&gt;54,"Senior Above 54","Middle Age 35-55"))</f>
        <v>Senior Above 54</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IF(Table1[[#This Row],[Age]]&lt;35,"Young People 0-35",IF(Table1[[#This Row],[Age]]&gt;54,"Senior Above 54","Middle Age 35-55"))</f>
        <v>Middle Age 35-55</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IF(Table1[[#This Row],[Age]]&lt;35,"Young People 0-35",IF(Table1[[#This Row],[Age]]&gt;54,"Senior Above 54","Middle Age 35-55"))</f>
        <v>Young People 0-35</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IF(Table1[[#This Row],[Age]]&lt;35,"Young People 0-35",IF(Table1[[#This Row],[Age]]&gt;54,"Senior Above 54","Middle Age 35-55"))</f>
        <v>Middle Age 35-55</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IF(Table1[[#This Row],[Age]]&lt;35,"Young People 0-35",IF(Table1[[#This Row],[Age]]&gt;54,"Senior Above 54","Middle Age 35-55"))</f>
        <v>Middle Age 35-55</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IF(Table1[[#This Row],[Age]]&lt;35,"Young People 0-35",IF(Table1[[#This Row],[Age]]&gt;54,"Senior Above 54","Middle Age 35-55"))</f>
        <v>Young People 0-35</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IF(Table1[[#This Row],[Age]]&lt;35,"Young People 0-35",IF(Table1[[#This Row],[Age]]&gt;54,"Senior Above 54","Middle Age 35-55"))</f>
        <v>Middle Age 35-55</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IF(Table1[[#This Row],[Age]]&lt;35,"Young People 0-35",IF(Table1[[#This Row],[Age]]&gt;54,"Senior Above 54","Middle Age 35-55"))</f>
        <v>Middle Age 35-55</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IF(Table1[[#This Row],[Age]]&lt;35,"Young People 0-35",IF(Table1[[#This Row],[Age]]&gt;54,"Senior Above 54","Middle Age 35-55"))</f>
        <v>Young People 0-35</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IF(Table1[[#This Row],[Age]]&lt;35,"Young People 0-35",IF(Table1[[#This Row],[Age]]&gt;54,"Senior Above 54","Middle Age 35-55"))</f>
        <v>Middle Age 35-55</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IF(Table1[[#This Row],[Age]]&lt;35,"Young People 0-35",IF(Table1[[#This Row],[Age]]&gt;54,"Senior Above 54","Middle Age 35-55"))</f>
        <v>Senior Above 54</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IF(Table1[[#This Row],[Age]]&lt;35,"Young People 0-35",IF(Table1[[#This Row],[Age]]&gt;54,"Senior Above 54","Middle Age 35-55"))</f>
        <v>Middle Age 35-55</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IF(Table1[[#This Row],[Age]]&lt;35,"Young People 0-35",IF(Table1[[#This Row],[Age]]&gt;54,"Senior Above 54","Middle Age 35-55"))</f>
        <v>Middle Age 35-55</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IF(Table1[[#This Row],[Age]]&lt;35,"Young People 0-35",IF(Table1[[#This Row],[Age]]&gt;54,"Senior Above 54","Middle Age 35-55"))</f>
        <v>Middle Age 35-55</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IF(Table1[[#This Row],[Age]]&lt;35,"Young People 0-35",IF(Table1[[#This Row],[Age]]&gt;54,"Senior Above 54","Middle Age 35-55"))</f>
        <v>Young People 0-35</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IF(Table1[[#This Row],[Age]]&lt;35,"Young People 0-35",IF(Table1[[#This Row],[Age]]&gt;54,"Senior Above 54","Middle Age 35-55"))</f>
        <v>Middle Age 35-55</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IF(Table1[[#This Row],[Age]]&lt;35,"Young People 0-35",IF(Table1[[#This Row],[Age]]&gt;54,"Senior Above 54","Middle Age 35-55"))</f>
        <v>Senior Above 54</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IF(Table1[[#This Row],[Age]]&lt;35,"Young People 0-35",IF(Table1[[#This Row],[Age]]&gt;54,"Senior Above 54","Middle Age 35-55"))</f>
        <v>Young People 0-35</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IF(Table1[[#This Row],[Age]]&lt;35,"Young People 0-35",IF(Table1[[#This Row],[Age]]&gt;54,"Senior Above 54","Middle Age 35-55"))</f>
        <v>Middle Age 35-55</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IF(Table1[[#This Row],[Age]]&lt;35,"Young People 0-35",IF(Table1[[#This Row],[Age]]&gt;54,"Senior Above 54","Middle Age 35-55"))</f>
        <v>Middle Age 35-55</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IF(Table1[[#This Row],[Age]]&lt;35,"Young People 0-35",IF(Table1[[#This Row],[Age]]&gt;54,"Senior Above 54","Middle Age 35-55"))</f>
        <v>Middle Age 35-55</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IF(Table1[[#This Row],[Age]]&lt;35,"Young People 0-35",IF(Table1[[#This Row],[Age]]&gt;54,"Senior Above 54","Middle Age 35-55"))</f>
        <v>Young People 0-35</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IF(Table1[[#This Row],[Age]]&lt;35,"Young People 0-35",IF(Table1[[#This Row],[Age]]&gt;54,"Senior Above 54","Middle Age 35-55"))</f>
        <v>Middle Age 35-55</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IF(Table1[[#This Row],[Age]]&lt;35,"Young People 0-35",IF(Table1[[#This Row],[Age]]&gt;54,"Senior Above 54","Middle Age 35-55"))</f>
        <v>Middle Age 35-55</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IF(Table1[[#This Row],[Age]]&lt;35,"Young People 0-35",IF(Table1[[#This Row],[Age]]&gt;54,"Senior Above 54","Middle Age 35-55"))</f>
        <v>Middle Age 35-55</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IF(Table1[[#This Row],[Age]]&lt;35,"Young People 0-35",IF(Table1[[#This Row],[Age]]&gt;54,"Senior Above 54","Middle Age 35-55"))</f>
        <v>Senior Above 54</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IF(Table1[[#This Row],[Age]]&lt;35,"Young People 0-35",IF(Table1[[#This Row],[Age]]&gt;54,"Senior Above 54","Middle Age 35-55"))</f>
        <v>Senior Above 54</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IF(Table1[[#This Row],[Age]]&lt;35,"Young People 0-35",IF(Table1[[#This Row],[Age]]&gt;54,"Senior Above 54","Middle Age 35-55"))</f>
        <v>Senior Above 54</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IF(Table1[[#This Row],[Age]]&lt;35,"Young People 0-35",IF(Table1[[#This Row],[Age]]&gt;54,"Senior Above 54","Middle Age 35-55"))</f>
        <v>Senior Above 54</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IF(Table1[[#This Row],[Age]]&lt;35,"Young People 0-35",IF(Table1[[#This Row],[Age]]&gt;54,"Senior Above 54","Middle Age 35-55"))</f>
        <v>Middle Age 35-55</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IF(Table1[[#This Row],[Age]]&lt;35,"Young People 0-35",IF(Table1[[#This Row],[Age]]&gt;54,"Senior Above 54","Middle Age 35-55"))</f>
        <v>Young People 0-35</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IF(Table1[[#This Row],[Age]]&lt;35,"Young People 0-35",IF(Table1[[#This Row],[Age]]&gt;54,"Senior Above 54","Middle Age 35-55"))</f>
        <v>Senior Above 54</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IF(Table1[[#This Row],[Age]]&lt;35,"Young People 0-35",IF(Table1[[#This Row],[Age]]&gt;54,"Senior Above 54","Middle Age 35-55"))</f>
        <v>Young People 0-35</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IF(Table1[[#This Row],[Age]]&lt;35,"Young People 0-35",IF(Table1[[#This Row],[Age]]&gt;54,"Senior Above 54","Middle Age 35-55"))</f>
        <v>Middle Age 35-55</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IF(Table1[[#This Row],[Age]]&lt;35,"Young People 0-35",IF(Table1[[#This Row],[Age]]&gt;54,"Senior Above 54","Middle Age 35-55"))</f>
        <v>Young People 0-35</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IF(Table1[[#This Row],[Age]]&lt;35,"Young People 0-35",IF(Table1[[#This Row],[Age]]&gt;54,"Senior Above 54","Middle Age 35-55"))</f>
        <v>Middle Age 35-55</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IF(Table1[[#This Row],[Age]]&lt;35,"Young People 0-35",IF(Table1[[#This Row],[Age]]&gt;54,"Senior Above 54","Middle Age 35-55"))</f>
        <v>Middle Age 35-55</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IF(Table1[[#This Row],[Age]]&lt;35,"Young People 0-35",IF(Table1[[#This Row],[Age]]&gt;54,"Senior Above 54","Middle Age 35-55"))</f>
        <v>Middle Age 35-55</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IF(Table1[[#This Row],[Age]]&lt;35,"Young People 0-35",IF(Table1[[#This Row],[Age]]&gt;54,"Senior Above 54","Middle Age 35-55"))</f>
        <v>Middle Age 35-55</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IF(Table1[[#This Row],[Age]]&lt;35,"Young People 0-35",IF(Table1[[#This Row],[Age]]&gt;54,"Senior Above 54","Middle Age 35-55"))</f>
        <v>Middle Age 35-55</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IF(Table1[[#This Row],[Age]]&lt;35,"Young People 0-35",IF(Table1[[#This Row],[Age]]&gt;54,"Senior Above 54","Middle Age 35-55"))</f>
        <v>Senior Above 54</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IF(Table1[[#This Row],[Age]]&lt;35,"Young People 0-35",IF(Table1[[#This Row],[Age]]&gt;54,"Senior Above 54","Middle Age 35-55"))</f>
        <v>Senior Above 54</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IF(Table1[[#This Row],[Age]]&lt;35,"Young People 0-35",IF(Table1[[#This Row],[Age]]&gt;54,"Senior Above 54","Middle Age 35-55"))</f>
        <v>Middle Age 35-55</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IF(Table1[[#This Row],[Age]]&lt;35,"Young People 0-35",IF(Table1[[#This Row],[Age]]&gt;54,"Senior Above 54","Middle Age 35-55"))</f>
        <v>Young People 0-35</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IF(Table1[[#This Row],[Age]]&lt;35,"Young People 0-35",IF(Table1[[#This Row],[Age]]&gt;54,"Senior Above 54","Middle Age 35-55"))</f>
        <v>Middle Age 35-55</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IF(Table1[[#This Row],[Age]]&lt;35,"Young People 0-35",IF(Table1[[#This Row],[Age]]&gt;54,"Senior Above 54","Middle Age 35-55"))</f>
        <v>Middle Age 35-55</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IF(Table1[[#This Row],[Age]]&lt;35,"Young People 0-35",IF(Table1[[#This Row],[Age]]&gt;54,"Senior Above 54","Middle Age 35-55"))</f>
        <v>Middle Age 35-55</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IF(Table1[[#This Row],[Age]]&lt;35,"Young People 0-35",IF(Table1[[#This Row],[Age]]&gt;54,"Senior Above 54","Middle Age 35-55"))</f>
        <v>Middle Age 35-55</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IF(Table1[[#This Row],[Age]]&lt;35,"Young People 0-35",IF(Table1[[#This Row],[Age]]&gt;54,"Senior Above 54","Middle Age 35-55"))</f>
        <v>Middle Age 35-55</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IF(Table1[[#This Row],[Age]]&lt;35,"Young People 0-35",IF(Table1[[#This Row],[Age]]&gt;54,"Senior Above 54","Middle Age 35-55"))</f>
        <v>Middle Age 35-55</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IF(Table1[[#This Row],[Age]]&lt;35,"Young People 0-35",IF(Table1[[#This Row],[Age]]&gt;54,"Senior Above 54","Middle Age 35-55"))</f>
        <v>Senior Above 54</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IF(Table1[[#This Row],[Age]]&lt;35,"Young People 0-35",IF(Table1[[#This Row],[Age]]&gt;54,"Senior Above 54","Middle Age 35-55"))</f>
        <v>Senior Above 54</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IF(Table1[[#This Row],[Age]]&lt;35,"Young People 0-35",IF(Table1[[#This Row],[Age]]&gt;54,"Senior Above 54","Middle Age 35-55"))</f>
        <v>Senior Above 54</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IF(Table1[[#This Row],[Age]]&lt;35,"Young People 0-35",IF(Table1[[#This Row],[Age]]&gt;54,"Senior Above 54","Middle Age 35-55"))</f>
        <v>Middle Age 35-55</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IF(Table1[[#This Row],[Age]]&lt;35,"Young People 0-35",IF(Table1[[#This Row],[Age]]&gt;54,"Senior Above 54","Middle Age 35-55"))</f>
        <v>Young People 0-35</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IF(Table1[[#This Row],[Age]]&lt;35,"Young People 0-35",IF(Table1[[#This Row],[Age]]&gt;54,"Senior Above 54","Middle Age 35-55"))</f>
        <v>Middle Age 35-55</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IF(Table1[[#This Row],[Age]]&lt;35,"Young People 0-35",IF(Table1[[#This Row],[Age]]&gt;54,"Senior Above 54","Middle Age 35-55"))</f>
        <v>Middle Age 35-55</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IF(Table1[[#This Row],[Age]]&lt;35,"Young People 0-35",IF(Table1[[#This Row],[Age]]&gt;54,"Senior Above 54","Middle Age 35-55"))</f>
        <v>Middle Age 35-55</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IF(Table1[[#This Row],[Age]]&lt;35,"Young People 0-35",IF(Table1[[#This Row],[Age]]&gt;54,"Senior Above 54","Middle Age 35-55"))</f>
        <v>Middle Age 35-55</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IF(Table1[[#This Row],[Age]]&lt;35,"Young People 0-35",IF(Table1[[#This Row],[Age]]&gt;54,"Senior Above 54","Middle Age 35-55"))</f>
        <v>Middle Age 35-55</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IF(Table1[[#This Row],[Age]]&lt;35,"Young People 0-35",IF(Table1[[#This Row],[Age]]&gt;54,"Senior Above 54","Middle Age 35-55"))</f>
        <v>Middle Age 35-55</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IF(Table1[[#This Row],[Age]]&lt;35,"Young People 0-35",IF(Table1[[#This Row],[Age]]&gt;54,"Senior Above 54","Middle Age 35-55"))</f>
        <v>Middle Age 35-55</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IF(Table1[[#This Row],[Age]]&lt;35,"Young People 0-35",IF(Table1[[#This Row],[Age]]&gt;54,"Senior Above 54","Middle Age 35-55"))</f>
        <v>Middle Age 35-55</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IF(Table1[[#This Row],[Age]]&lt;35,"Young People 0-35",IF(Table1[[#This Row],[Age]]&gt;54,"Senior Above 54","Middle Age 35-55"))</f>
        <v>Middle Age 35-55</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3CA38-6B19-404B-B2DF-88643361B570}">
  <dimension ref="A2:D35"/>
  <sheetViews>
    <sheetView topLeftCell="C1" workbookViewId="0">
      <selection activeCell="L19" sqref="L19"/>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2" spans="1:4" x14ac:dyDescent="0.3">
      <c r="A2" s="4" t="s">
        <v>44</v>
      </c>
      <c r="B2" s="4" t="s">
        <v>41</v>
      </c>
    </row>
    <row r="3" spans="1:4" x14ac:dyDescent="0.3">
      <c r="A3" s="4" t="s">
        <v>43</v>
      </c>
      <c r="B3" t="s">
        <v>18</v>
      </c>
      <c r="C3" t="s">
        <v>15</v>
      </c>
      <c r="D3" t="s">
        <v>42</v>
      </c>
    </row>
    <row r="4" spans="1:4" x14ac:dyDescent="0.3">
      <c r="A4" s="5" t="s">
        <v>38</v>
      </c>
      <c r="B4" s="1">
        <v>43913.043478260872</v>
      </c>
      <c r="C4" s="1">
        <v>45294.117647058825</v>
      </c>
      <c r="D4" s="1">
        <v>44500</v>
      </c>
    </row>
    <row r="5" spans="1:4" x14ac:dyDescent="0.3">
      <c r="A5" s="5" t="s">
        <v>39</v>
      </c>
      <c r="B5" s="1">
        <v>45925.925925925927</v>
      </c>
      <c r="C5" s="1">
        <v>53777.777777777781</v>
      </c>
      <c r="D5" s="1">
        <v>49494.949494949498</v>
      </c>
    </row>
    <row r="6" spans="1:4" x14ac:dyDescent="0.3">
      <c r="A6" s="5" t="s">
        <v>42</v>
      </c>
      <c r="B6" s="1">
        <v>45000</v>
      </c>
      <c r="C6" s="1">
        <v>50126.582278481015</v>
      </c>
      <c r="D6" s="1">
        <v>47262.569832402238</v>
      </c>
    </row>
    <row r="16" spans="1:4" x14ac:dyDescent="0.3">
      <c r="A16" s="4" t="s">
        <v>45</v>
      </c>
      <c r="B16" s="4" t="s">
        <v>41</v>
      </c>
    </row>
    <row r="17" spans="1:4" x14ac:dyDescent="0.3">
      <c r="A17" s="4" t="s">
        <v>43</v>
      </c>
      <c r="B17" t="s">
        <v>18</v>
      </c>
      <c r="C17" t="s">
        <v>15</v>
      </c>
      <c r="D17" t="s">
        <v>42</v>
      </c>
    </row>
    <row r="18" spans="1:4" x14ac:dyDescent="0.3">
      <c r="A18" s="6" t="s">
        <v>16</v>
      </c>
      <c r="B18" s="9">
        <v>15</v>
      </c>
      <c r="C18" s="9">
        <v>20</v>
      </c>
      <c r="D18" s="9">
        <v>35</v>
      </c>
    </row>
    <row r="19" spans="1:4" x14ac:dyDescent="0.3">
      <c r="A19" s="6" t="s">
        <v>26</v>
      </c>
      <c r="B19" s="9">
        <v>18</v>
      </c>
      <c r="C19" s="9">
        <v>18</v>
      </c>
      <c r="D19" s="9">
        <v>36</v>
      </c>
    </row>
    <row r="20" spans="1:4" x14ac:dyDescent="0.3">
      <c r="A20" s="6" t="s">
        <v>22</v>
      </c>
      <c r="B20" s="9">
        <v>16</v>
      </c>
      <c r="C20" s="9">
        <v>13</v>
      </c>
      <c r="D20" s="9">
        <v>29</v>
      </c>
    </row>
    <row r="21" spans="1:4" x14ac:dyDescent="0.3">
      <c r="A21" s="6" t="s">
        <v>23</v>
      </c>
      <c r="B21" s="9">
        <v>39</v>
      </c>
      <c r="C21" s="9">
        <v>19</v>
      </c>
      <c r="D21" s="9">
        <v>58</v>
      </c>
    </row>
    <row r="22" spans="1:4" x14ac:dyDescent="0.3">
      <c r="A22" s="6" t="s">
        <v>46</v>
      </c>
      <c r="B22" s="9">
        <v>12</v>
      </c>
      <c r="C22" s="9">
        <v>9</v>
      </c>
      <c r="D22" s="9">
        <v>21</v>
      </c>
    </row>
    <row r="23" spans="1:4" x14ac:dyDescent="0.3">
      <c r="A23" s="5" t="s">
        <v>42</v>
      </c>
      <c r="B23" s="9">
        <v>100</v>
      </c>
      <c r="C23" s="9">
        <v>79</v>
      </c>
      <c r="D23" s="9">
        <v>179</v>
      </c>
    </row>
    <row r="30" spans="1:4" x14ac:dyDescent="0.3">
      <c r="A30" s="4" t="s">
        <v>45</v>
      </c>
      <c r="B30" s="4" t="s">
        <v>41</v>
      </c>
    </row>
    <row r="31" spans="1:4" x14ac:dyDescent="0.3">
      <c r="A31" s="4" t="s">
        <v>43</v>
      </c>
      <c r="B31" t="s">
        <v>18</v>
      </c>
      <c r="C31" t="s">
        <v>15</v>
      </c>
      <c r="D31" t="s">
        <v>42</v>
      </c>
    </row>
    <row r="32" spans="1:4" x14ac:dyDescent="0.3">
      <c r="A32" s="5" t="s">
        <v>47</v>
      </c>
      <c r="B32" s="9">
        <v>41</v>
      </c>
      <c r="C32" s="9">
        <v>48</v>
      </c>
      <c r="D32" s="9">
        <v>89</v>
      </c>
    </row>
    <row r="33" spans="1:4" x14ac:dyDescent="0.3">
      <c r="A33" s="5" t="s">
        <v>48</v>
      </c>
      <c r="B33" s="9">
        <v>24</v>
      </c>
      <c r="C33" s="9">
        <v>11</v>
      </c>
      <c r="D33" s="9">
        <v>35</v>
      </c>
    </row>
    <row r="34" spans="1:4" x14ac:dyDescent="0.3">
      <c r="A34" s="5" t="s">
        <v>49</v>
      </c>
      <c r="B34" s="9">
        <v>35</v>
      </c>
      <c r="C34" s="9">
        <v>20</v>
      </c>
      <c r="D34" s="9">
        <v>55</v>
      </c>
    </row>
    <row r="35" spans="1:4" x14ac:dyDescent="0.3">
      <c r="A35" s="5" t="s">
        <v>42</v>
      </c>
      <c r="B35" s="9">
        <v>100</v>
      </c>
      <c r="C35" s="9">
        <v>79</v>
      </c>
      <c r="D35" s="9">
        <v>179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60FAE-A409-4669-B8D2-11FC95D32AB8}">
  <dimension ref="A1:Q6"/>
  <sheetViews>
    <sheetView showGridLines="0" tabSelected="1" zoomScale="46" workbookViewId="0">
      <selection activeCell="AB19" sqref="AB19"/>
    </sheetView>
  </sheetViews>
  <sheetFormatPr defaultRowHeight="14.4" x14ac:dyDescent="0.3"/>
  <sheetData>
    <row r="1" spans="1:17" x14ac:dyDescent="0.3">
      <c r="A1" s="7" t="s">
        <v>50</v>
      </c>
      <c r="B1" s="8"/>
      <c r="C1" s="8"/>
      <c r="D1" s="8"/>
      <c r="E1" s="8"/>
      <c r="F1" s="8"/>
      <c r="G1" s="8"/>
      <c r="H1" s="8"/>
      <c r="I1" s="8"/>
      <c r="J1" s="8"/>
      <c r="K1" s="8"/>
      <c r="L1" s="8"/>
      <c r="M1" s="8"/>
      <c r="N1" s="8"/>
      <c r="O1" s="8"/>
      <c r="P1" s="8"/>
      <c r="Q1" s="8"/>
    </row>
    <row r="2" spans="1:17" x14ac:dyDescent="0.3">
      <c r="A2" s="8"/>
      <c r="B2" s="8"/>
      <c r="C2" s="8"/>
      <c r="D2" s="8"/>
      <c r="E2" s="8"/>
      <c r="F2" s="8"/>
      <c r="G2" s="8"/>
      <c r="H2" s="8"/>
      <c r="I2" s="8"/>
      <c r="J2" s="8"/>
      <c r="K2" s="8"/>
      <c r="L2" s="8"/>
      <c r="M2" s="8"/>
      <c r="N2" s="8"/>
      <c r="O2" s="8"/>
      <c r="P2" s="8"/>
      <c r="Q2" s="8"/>
    </row>
    <row r="3" spans="1:17" x14ac:dyDescent="0.3">
      <c r="A3" s="8"/>
      <c r="B3" s="8"/>
      <c r="C3" s="8"/>
      <c r="D3" s="8"/>
      <c r="E3" s="8"/>
      <c r="F3" s="8"/>
      <c r="G3" s="8"/>
      <c r="H3" s="8"/>
      <c r="I3" s="8"/>
      <c r="J3" s="8"/>
      <c r="K3" s="8"/>
      <c r="L3" s="8"/>
      <c r="M3" s="8"/>
      <c r="N3" s="8"/>
      <c r="O3" s="8"/>
      <c r="P3" s="8"/>
      <c r="Q3" s="8"/>
    </row>
    <row r="4" spans="1:17" x14ac:dyDescent="0.3">
      <c r="A4" s="8"/>
      <c r="B4" s="8"/>
      <c r="C4" s="8"/>
      <c r="D4" s="8"/>
      <c r="E4" s="8"/>
      <c r="F4" s="8"/>
      <c r="G4" s="8"/>
      <c r="H4" s="8"/>
      <c r="I4" s="8"/>
      <c r="J4" s="8"/>
      <c r="K4" s="8"/>
      <c r="L4" s="8"/>
      <c r="M4" s="8"/>
      <c r="N4" s="8"/>
      <c r="O4" s="8"/>
      <c r="P4" s="8"/>
      <c r="Q4" s="8"/>
    </row>
    <row r="5" spans="1:17" x14ac:dyDescent="0.3">
      <c r="A5" s="8"/>
      <c r="B5" s="8"/>
      <c r="C5" s="8"/>
      <c r="D5" s="8"/>
      <c r="E5" s="8"/>
      <c r="F5" s="8"/>
      <c r="G5" s="8"/>
      <c r="H5" s="8"/>
      <c r="I5" s="8"/>
      <c r="J5" s="8"/>
      <c r="K5" s="8"/>
      <c r="L5" s="8"/>
      <c r="M5" s="8"/>
      <c r="N5" s="8"/>
      <c r="O5" s="8"/>
      <c r="P5" s="8"/>
      <c r="Q5" s="8"/>
    </row>
    <row r="6" spans="1:17" x14ac:dyDescent="0.3">
      <c r="A6" s="8"/>
      <c r="B6" s="8"/>
      <c r="C6" s="8"/>
      <c r="D6" s="8"/>
      <c r="E6" s="8"/>
      <c r="F6" s="8"/>
      <c r="G6" s="8"/>
      <c r="H6" s="8"/>
      <c r="I6" s="8"/>
      <c r="J6" s="8"/>
      <c r="K6" s="8"/>
      <c r="L6" s="8"/>
      <c r="M6" s="8"/>
      <c r="N6" s="8"/>
      <c r="O6" s="8"/>
      <c r="P6" s="8"/>
      <c r="Q6" s="8"/>
    </row>
  </sheetData>
  <mergeCells count="1">
    <mergeCell ref="A1: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Himanshi</dc:creator>
  <cp:lastModifiedBy>Himanshi Hotwani</cp:lastModifiedBy>
  <dcterms:created xsi:type="dcterms:W3CDTF">2022-03-18T02:50:57Z</dcterms:created>
  <dcterms:modified xsi:type="dcterms:W3CDTF">2026-07-29T17:58:54Z</dcterms:modified>
</cp:coreProperties>
</file>